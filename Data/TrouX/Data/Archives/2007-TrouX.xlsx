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xaold/Documents/Speleo/Expes/Montenegro/Topos/Data/Trou1/Data/Archives/"/>
    </mc:Choice>
  </mc:AlternateContent>
  <xr:revisionPtr revIDLastSave="0" documentId="13_ncr:1_{095D1283-A2F2-A24B-AF52-CD6D0F9D8E17}" xr6:coauthVersionLast="47" xr6:coauthVersionMax="47" xr10:uidLastSave="{00000000-0000-0000-0000-000000000000}"/>
  <bookViews>
    <workbookView xWindow="80" yWindow="500" windowWidth="25040" windowHeight="14400" xr2:uid="{FF12A003-3AC8-474C-A773-E2E942C1B7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3" i="1"/>
  <c r="E44" i="1"/>
  <c r="E45" i="1"/>
  <c r="E46" i="1"/>
  <c r="E48" i="1"/>
  <c r="E49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6" i="1"/>
  <c r="E67" i="1"/>
  <c r="E68" i="1"/>
  <c r="E69" i="1"/>
  <c r="E42" i="1"/>
  <c r="E32" i="1"/>
  <c r="E33" i="1"/>
  <c r="E34" i="1"/>
  <c r="E35" i="1"/>
  <c r="E36" i="1"/>
  <c r="E37" i="1"/>
  <c r="E38" i="1"/>
  <c r="E39" i="1"/>
  <c r="E40" i="1"/>
  <c r="E31" i="1"/>
  <c r="E28" i="1"/>
  <c r="E29" i="1"/>
  <c r="E27" i="1"/>
  <c r="E25" i="1"/>
  <c r="E24" i="1"/>
  <c r="E23" i="1"/>
  <c r="E22" i="1"/>
  <c r="E18" i="1"/>
  <c r="E19" i="1"/>
  <c r="E20" i="1"/>
  <c r="E17" i="1"/>
  <c r="E10" i="1"/>
  <c r="E11" i="1"/>
  <c r="E12" i="1"/>
  <c r="E13" i="1"/>
  <c r="E14" i="1"/>
  <c r="E15" i="1"/>
  <c r="E9" i="1"/>
  <c r="S95" i="1"/>
  <c r="S94" i="1"/>
  <c r="S93" i="1"/>
  <c r="S92" i="1"/>
  <c r="S91" i="1"/>
  <c r="S90" i="1"/>
  <c r="S87" i="1"/>
  <c r="S86" i="1"/>
  <c r="S85" i="1"/>
  <c r="S84" i="1"/>
  <c r="S83" i="1"/>
  <c r="S82" i="1"/>
  <c r="S81" i="1"/>
  <c r="S80" i="1"/>
  <c r="S79" i="1"/>
</calcChain>
</file>

<file path=xl/sharedStrings.xml><?xml version="1.0" encoding="utf-8"?>
<sst xmlns="http://schemas.openxmlformats.org/spreadsheetml/2006/main" count="115" uniqueCount="28">
  <si>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</si>
  <si>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</si>
  <si>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</si>
  <si>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</si>
  <si>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</si>
  <si>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</si>
  <si>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</si>
  <si>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</si>
  <si>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</si>
  <si>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P</t>
  </si>
  <si>
    <t>G</t>
  </si>
  <si>
    <t>H</t>
  </si>
  <si>
    <t>B</t>
  </si>
  <si>
    <t>Rem</t>
  </si>
  <si>
    <t>Az</t>
  </si>
  <si>
    <t>.</t>
  </si>
  <si>
    <t>Trou X</t>
  </si>
  <si>
    <t>Alain Marbach</t>
  </si>
  <si>
    <t>Michel Blansaber</t>
  </si>
  <si>
    <t># Départ vers Soupirail</t>
  </si>
  <si>
    <t># Entrée, sur les spits</t>
  </si>
  <si>
    <t>TrouX</t>
  </si>
  <si>
    <t>13b</t>
  </si>
  <si>
    <t># Déviation ; départ suite</t>
  </si>
  <si>
    <t># Salle</t>
  </si>
  <si>
    <t># Soupirail</t>
  </si>
  <si>
    <t># Salle ; puits remontant</t>
  </si>
  <si>
    <t># Sommet 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</si>
</sst>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47F5-4A1F-204A-8F07-DD770482BBC0}">
  <dimension ref="A1:S95"/>
  <sheetViews>
    <sheetView tabSelected="1" topLeftCell="A43" workbookViewId="0">
      <selection activeCell="L65" sqref="L65"/>
    </sheetView>
  </sheetViews>
  <sheetFormatPr baseColWidth="10" defaultRowHeight="16" x14ac:dyDescent="0.2"/>
  <sheetData>
    <row r="1" spans="1:19" x14ac:dyDescent="0.2">
      <c r="A1" t="s">
        <v>16</v>
      </c>
    </row>
    <row r="3" spans="1:19" x14ac:dyDescent="0.2">
      <c r="A3" t="s">
        <v>0</v>
      </c>
      <c r="B3" s="2">
        <v>39124</v>
      </c>
    </row>
    <row r="4" spans="1:19" x14ac:dyDescent="0.2">
      <c r="A4" t="s">
        <v>1</v>
      </c>
      <c r="B4" t="s">
        <v>17</v>
      </c>
    </row>
    <row r="5" spans="1:19" x14ac:dyDescent="0.2">
      <c r="A5" t="s">
        <v>1</v>
      </c>
      <c r="B5" t="s">
        <v>18</v>
      </c>
    </row>
    <row r="6" spans="1:19" x14ac:dyDescent="0.2">
      <c r="A6" t="s">
        <v>2</v>
      </c>
      <c r="B6" t="s">
        <v>3</v>
      </c>
    </row>
    <row r="8" spans="1:19" x14ac:dyDescent="0.2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14</v>
      </c>
      <c r="G8" s="1" t="s">
        <v>9</v>
      </c>
      <c r="H8" s="1" t="s">
        <v>10</v>
      </c>
      <c r="I8" s="1" t="s">
        <v>4</v>
      </c>
      <c r="J8" s="1" t="s">
        <v>11</v>
      </c>
      <c r="K8" s="1" t="s">
        <v>12</v>
      </c>
      <c r="L8" s="1" t="s">
        <v>13</v>
      </c>
      <c r="Q8" s="1"/>
      <c r="R8" s="1"/>
      <c r="S8" s="1"/>
    </row>
    <row r="9" spans="1:19" x14ac:dyDescent="0.2">
      <c r="A9" t="s">
        <v>21</v>
      </c>
      <c r="B9">
        <v>1</v>
      </c>
      <c r="C9">
        <v>77071</v>
      </c>
      <c r="D9">
        <v>77271</v>
      </c>
      <c r="E9">
        <f>(D9-C9)/100</f>
        <v>2</v>
      </c>
      <c r="F9">
        <v>55</v>
      </c>
      <c r="G9">
        <v>121</v>
      </c>
      <c r="H9">
        <v>5.5</v>
      </c>
      <c r="I9">
        <v>0</v>
      </c>
      <c r="J9" t="s">
        <v>15</v>
      </c>
      <c r="K9">
        <v>1</v>
      </c>
      <c r="L9" t="s">
        <v>20</v>
      </c>
    </row>
    <row r="10" spans="1:19" x14ac:dyDescent="0.2">
      <c r="A10">
        <v>1</v>
      </c>
      <c r="B10">
        <v>2</v>
      </c>
      <c r="C10">
        <v>77271</v>
      </c>
      <c r="D10">
        <v>77886</v>
      </c>
      <c r="E10">
        <f t="shared" ref="E10:E69" si="0">(D10-C10)/100</f>
        <v>6.15</v>
      </c>
      <c r="F10">
        <v>16</v>
      </c>
      <c r="G10">
        <v>125</v>
      </c>
      <c r="H10">
        <v>0</v>
      </c>
      <c r="I10">
        <v>5.5</v>
      </c>
      <c r="J10" t="s">
        <v>15</v>
      </c>
      <c r="K10">
        <v>1</v>
      </c>
    </row>
    <row r="11" spans="1:19" x14ac:dyDescent="0.2">
      <c r="A11">
        <v>2</v>
      </c>
      <c r="B11">
        <v>3</v>
      </c>
      <c r="C11">
        <v>77886</v>
      </c>
      <c r="D11">
        <v>79667</v>
      </c>
      <c r="E11">
        <f t="shared" si="0"/>
        <v>17.809999999999999</v>
      </c>
      <c r="F11">
        <v>107</v>
      </c>
      <c r="G11">
        <v>162</v>
      </c>
      <c r="H11">
        <v>1</v>
      </c>
      <c r="I11">
        <v>1.5</v>
      </c>
      <c r="J11">
        <v>3</v>
      </c>
      <c r="K11">
        <v>1</v>
      </c>
    </row>
    <row r="12" spans="1:19" x14ac:dyDescent="0.2">
      <c r="A12">
        <v>3</v>
      </c>
      <c r="B12">
        <v>4</v>
      </c>
      <c r="C12">
        <v>79667</v>
      </c>
      <c r="D12">
        <v>80308</v>
      </c>
      <c r="E12">
        <f t="shared" si="0"/>
        <v>6.41</v>
      </c>
      <c r="F12">
        <v>109</v>
      </c>
      <c r="G12">
        <v>161</v>
      </c>
      <c r="H12">
        <v>0</v>
      </c>
      <c r="I12">
        <v>2</v>
      </c>
      <c r="J12">
        <v>3</v>
      </c>
      <c r="K12">
        <v>1</v>
      </c>
    </row>
    <row r="13" spans="1:19" x14ac:dyDescent="0.2">
      <c r="A13">
        <v>4</v>
      </c>
      <c r="B13">
        <v>5</v>
      </c>
      <c r="C13">
        <v>80308</v>
      </c>
      <c r="D13">
        <v>81376</v>
      </c>
      <c r="E13">
        <f t="shared" si="0"/>
        <v>10.68</v>
      </c>
      <c r="F13">
        <v>64</v>
      </c>
      <c r="G13">
        <v>154</v>
      </c>
      <c r="H13">
        <v>0</v>
      </c>
      <c r="I13" t="s">
        <v>15</v>
      </c>
      <c r="J13">
        <v>4</v>
      </c>
      <c r="K13">
        <v>1</v>
      </c>
    </row>
    <row r="14" spans="1:19" x14ac:dyDescent="0.2">
      <c r="A14">
        <v>5</v>
      </c>
      <c r="B14">
        <v>6</v>
      </c>
      <c r="C14">
        <v>81376</v>
      </c>
      <c r="D14">
        <v>82205</v>
      </c>
      <c r="E14">
        <f t="shared" si="0"/>
        <v>8.2899999999999991</v>
      </c>
      <c r="F14">
        <v>122</v>
      </c>
      <c r="G14">
        <v>122</v>
      </c>
      <c r="H14">
        <v>0</v>
      </c>
      <c r="I14" t="s">
        <v>15</v>
      </c>
      <c r="J14">
        <v>4</v>
      </c>
      <c r="K14">
        <v>1</v>
      </c>
    </row>
    <row r="15" spans="1:19" x14ac:dyDescent="0.2">
      <c r="A15">
        <v>6</v>
      </c>
      <c r="B15">
        <v>7</v>
      </c>
      <c r="C15">
        <v>82205</v>
      </c>
      <c r="D15">
        <v>82858</v>
      </c>
      <c r="E15">
        <f t="shared" si="0"/>
        <v>6.53</v>
      </c>
      <c r="F15">
        <v>189</v>
      </c>
      <c r="G15">
        <v>124</v>
      </c>
      <c r="H15">
        <v>0</v>
      </c>
      <c r="I15" t="s">
        <v>15</v>
      </c>
      <c r="J15">
        <v>4</v>
      </c>
      <c r="K15">
        <v>1</v>
      </c>
      <c r="L15" t="s">
        <v>19</v>
      </c>
    </row>
    <row r="17" spans="1:12" x14ac:dyDescent="0.2">
      <c r="A17">
        <v>7</v>
      </c>
      <c r="B17">
        <v>8</v>
      </c>
      <c r="C17">
        <v>82858</v>
      </c>
      <c r="D17">
        <v>84483</v>
      </c>
      <c r="E17">
        <f t="shared" si="0"/>
        <v>16.25</v>
      </c>
      <c r="F17">
        <v>238</v>
      </c>
      <c r="G17">
        <v>121</v>
      </c>
      <c r="H17">
        <v>0</v>
      </c>
      <c r="I17" t="s">
        <v>15</v>
      </c>
      <c r="J17">
        <v>4</v>
      </c>
      <c r="K17">
        <v>1</v>
      </c>
      <c r="L17" t="s">
        <v>24</v>
      </c>
    </row>
    <row r="18" spans="1:12" x14ac:dyDescent="0.2">
      <c r="A18">
        <v>8</v>
      </c>
      <c r="B18">
        <v>9</v>
      </c>
      <c r="C18">
        <v>84483</v>
      </c>
      <c r="D18">
        <v>85923</v>
      </c>
      <c r="E18">
        <f t="shared" si="0"/>
        <v>14.4</v>
      </c>
      <c r="F18">
        <v>270</v>
      </c>
      <c r="G18">
        <v>113</v>
      </c>
      <c r="H18">
        <v>0</v>
      </c>
      <c r="I18" t="s">
        <v>15</v>
      </c>
      <c r="J18">
        <v>4</v>
      </c>
      <c r="K18">
        <v>1</v>
      </c>
      <c r="L18" t="s">
        <v>24</v>
      </c>
    </row>
    <row r="19" spans="1:12" x14ac:dyDescent="0.2">
      <c r="A19">
        <v>9</v>
      </c>
      <c r="B19">
        <v>10</v>
      </c>
      <c r="C19">
        <v>85923</v>
      </c>
      <c r="D19">
        <v>88474</v>
      </c>
      <c r="E19">
        <f t="shared" si="0"/>
        <v>25.51</v>
      </c>
      <c r="F19">
        <v>59</v>
      </c>
      <c r="G19">
        <v>6</v>
      </c>
      <c r="H19">
        <v>0</v>
      </c>
      <c r="I19" t="s">
        <v>15</v>
      </c>
      <c r="J19">
        <v>4</v>
      </c>
      <c r="K19">
        <v>1</v>
      </c>
      <c r="L19" t="s">
        <v>24</v>
      </c>
    </row>
    <row r="20" spans="1:12" x14ac:dyDescent="0.2">
      <c r="A20">
        <v>10</v>
      </c>
      <c r="B20">
        <v>5</v>
      </c>
      <c r="C20">
        <v>88474</v>
      </c>
      <c r="D20">
        <v>89278</v>
      </c>
      <c r="E20">
        <f t="shared" si="0"/>
        <v>8.0399999999999991</v>
      </c>
      <c r="F20">
        <v>9</v>
      </c>
      <c r="G20">
        <v>44</v>
      </c>
      <c r="H20">
        <v>0</v>
      </c>
      <c r="I20" t="s">
        <v>15</v>
      </c>
      <c r="J20">
        <v>4</v>
      </c>
      <c r="K20">
        <v>1</v>
      </c>
      <c r="L20" t="s">
        <v>24</v>
      </c>
    </row>
    <row r="22" spans="1:12" x14ac:dyDescent="0.2">
      <c r="A22">
        <v>7</v>
      </c>
      <c r="B22">
        <v>12</v>
      </c>
      <c r="C22">
        <v>89392</v>
      </c>
      <c r="D22">
        <v>90972</v>
      </c>
      <c r="E22">
        <f t="shared" si="0"/>
        <v>15.8</v>
      </c>
      <c r="F22">
        <v>80</v>
      </c>
      <c r="G22">
        <v>176</v>
      </c>
      <c r="H22" t="s">
        <v>15</v>
      </c>
      <c r="I22" t="s">
        <v>15</v>
      </c>
      <c r="J22">
        <v>1</v>
      </c>
      <c r="K22">
        <v>1</v>
      </c>
      <c r="L22" t="s">
        <v>25</v>
      </c>
    </row>
    <row r="23" spans="1:12" x14ac:dyDescent="0.2">
      <c r="A23">
        <v>12</v>
      </c>
      <c r="B23">
        <v>13</v>
      </c>
      <c r="C23">
        <v>90972</v>
      </c>
      <c r="D23">
        <v>91331</v>
      </c>
      <c r="E23">
        <f t="shared" si="0"/>
        <v>3.59</v>
      </c>
      <c r="F23">
        <v>174</v>
      </c>
      <c r="G23">
        <v>108</v>
      </c>
      <c r="H23" t="s">
        <v>15</v>
      </c>
      <c r="I23" t="s">
        <v>15</v>
      </c>
      <c r="J23">
        <v>1</v>
      </c>
      <c r="K23">
        <v>32</v>
      </c>
    </row>
    <row r="24" spans="1:12" x14ac:dyDescent="0.2">
      <c r="A24">
        <v>13</v>
      </c>
      <c r="B24" t="s">
        <v>22</v>
      </c>
      <c r="C24">
        <v>91331</v>
      </c>
      <c r="D24">
        <v>92531</v>
      </c>
      <c r="E24">
        <f t="shared" si="0"/>
        <v>12</v>
      </c>
      <c r="F24">
        <v>0</v>
      </c>
      <c r="G24">
        <v>180</v>
      </c>
      <c r="H24" t="s">
        <v>15</v>
      </c>
      <c r="I24" t="s">
        <v>15</v>
      </c>
      <c r="J24">
        <v>13</v>
      </c>
      <c r="K24">
        <v>20</v>
      </c>
      <c r="L24" t="s">
        <v>23</v>
      </c>
    </row>
    <row r="25" spans="1:12" x14ac:dyDescent="0.2">
      <c r="A25" t="s">
        <v>22</v>
      </c>
      <c r="B25">
        <v>14</v>
      </c>
      <c r="C25">
        <v>92531</v>
      </c>
      <c r="D25">
        <v>94446</v>
      </c>
      <c r="E25">
        <f t="shared" si="0"/>
        <v>19.149999999999999</v>
      </c>
      <c r="F25">
        <v>0</v>
      </c>
      <c r="G25">
        <v>180</v>
      </c>
      <c r="H25" t="s">
        <v>15</v>
      </c>
      <c r="I25" t="s">
        <v>15</v>
      </c>
      <c r="J25">
        <v>33</v>
      </c>
      <c r="K25">
        <v>1</v>
      </c>
    </row>
    <row r="27" spans="1:12" x14ac:dyDescent="0.2">
      <c r="A27">
        <v>14</v>
      </c>
      <c r="B27">
        <v>15</v>
      </c>
      <c r="C27">
        <v>94446</v>
      </c>
      <c r="D27">
        <v>96047</v>
      </c>
      <c r="E27">
        <f t="shared" si="0"/>
        <v>16.010000000000002</v>
      </c>
      <c r="F27">
        <v>263</v>
      </c>
      <c r="G27">
        <v>57</v>
      </c>
      <c r="H27">
        <v>2</v>
      </c>
      <c r="I27">
        <v>2</v>
      </c>
      <c r="J27">
        <v>30</v>
      </c>
      <c r="K27">
        <v>1</v>
      </c>
      <c r="L27" t="s">
        <v>26</v>
      </c>
    </row>
    <row r="28" spans="1:12" x14ac:dyDescent="0.2">
      <c r="A28">
        <v>14</v>
      </c>
      <c r="B28">
        <v>16</v>
      </c>
      <c r="C28">
        <v>96047</v>
      </c>
      <c r="D28">
        <v>96404</v>
      </c>
      <c r="E28">
        <f t="shared" si="0"/>
        <v>3.57</v>
      </c>
      <c r="F28">
        <v>169</v>
      </c>
      <c r="G28">
        <v>60</v>
      </c>
      <c r="H28">
        <v>3</v>
      </c>
      <c r="I28">
        <v>3</v>
      </c>
      <c r="J28" t="s">
        <v>15</v>
      </c>
      <c r="K28">
        <v>1</v>
      </c>
      <c r="L28" t="s">
        <v>24</v>
      </c>
    </row>
    <row r="29" spans="1:12" x14ac:dyDescent="0.2">
      <c r="A29">
        <v>16</v>
      </c>
      <c r="B29">
        <v>17</v>
      </c>
      <c r="C29">
        <v>96404</v>
      </c>
      <c r="D29">
        <v>97094</v>
      </c>
      <c r="E29">
        <f t="shared" si="0"/>
        <v>6.9</v>
      </c>
      <c r="F29">
        <v>184</v>
      </c>
      <c r="G29">
        <v>115</v>
      </c>
      <c r="H29">
        <v>3</v>
      </c>
      <c r="I29">
        <v>10</v>
      </c>
      <c r="J29" t="s">
        <v>15</v>
      </c>
      <c r="K29">
        <v>1</v>
      </c>
      <c r="L29" t="s">
        <v>24</v>
      </c>
    </row>
    <row r="31" spans="1:12" x14ac:dyDescent="0.2">
      <c r="A31">
        <v>14</v>
      </c>
      <c r="B31">
        <v>18</v>
      </c>
      <c r="C31">
        <v>97094</v>
      </c>
      <c r="D31">
        <v>97594</v>
      </c>
      <c r="E31">
        <f t="shared" si="0"/>
        <v>5</v>
      </c>
      <c r="F31">
        <v>25</v>
      </c>
      <c r="G31">
        <v>128</v>
      </c>
      <c r="H31">
        <v>2</v>
      </c>
      <c r="I31">
        <v>2</v>
      </c>
      <c r="J31" t="s">
        <v>15</v>
      </c>
      <c r="K31">
        <v>1</v>
      </c>
    </row>
    <row r="32" spans="1:12" x14ac:dyDescent="0.2">
      <c r="A32">
        <v>18</v>
      </c>
      <c r="B32">
        <v>19</v>
      </c>
      <c r="C32">
        <v>97594</v>
      </c>
      <c r="D32">
        <v>98875</v>
      </c>
      <c r="E32">
        <f t="shared" si="0"/>
        <v>12.81</v>
      </c>
      <c r="F32">
        <v>37</v>
      </c>
      <c r="G32">
        <v>136</v>
      </c>
      <c r="H32">
        <v>0</v>
      </c>
      <c r="I32">
        <v>2</v>
      </c>
      <c r="J32" t="s">
        <v>15</v>
      </c>
      <c r="K32">
        <v>1</v>
      </c>
    </row>
    <row r="33" spans="1:12" x14ac:dyDescent="0.2">
      <c r="A33">
        <v>19</v>
      </c>
      <c r="B33">
        <v>20</v>
      </c>
      <c r="C33">
        <v>99870</v>
      </c>
      <c r="D33">
        <v>99897</v>
      </c>
      <c r="E33">
        <f t="shared" si="0"/>
        <v>0.27</v>
      </c>
      <c r="F33">
        <v>92</v>
      </c>
      <c r="G33">
        <v>129</v>
      </c>
      <c r="H33">
        <v>1.5</v>
      </c>
      <c r="I33">
        <v>1</v>
      </c>
      <c r="J33">
        <v>5</v>
      </c>
      <c r="K33">
        <v>1</v>
      </c>
    </row>
    <row r="34" spans="1:12" x14ac:dyDescent="0.2">
      <c r="A34">
        <v>20</v>
      </c>
      <c r="B34">
        <v>21</v>
      </c>
      <c r="C34">
        <v>99897</v>
      </c>
      <c r="D34">
        <v>100264</v>
      </c>
      <c r="E34">
        <f t="shared" si="0"/>
        <v>3.67</v>
      </c>
      <c r="F34">
        <v>22</v>
      </c>
      <c r="G34">
        <v>132</v>
      </c>
      <c r="H34">
        <v>0</v>
      </c>
      <c r="I34">
        <v>2</v>
      </c>
      <c r="J34" t="s">
        <v>15</v>
      </c>
      <c r="K34">
        <v>1</v>
      </c>
    </row>
    <row r="35" spans="1:12" x14ac:dyDescent="0.2">
      <c r="A35">
        <v>21</v>
      </c>
      <c r="B35">
        <v>22</v>
      </c>
      <c r="C35">
        <v>264</v>
      </c>
      <c r="D35">
        <v>560</v>
      </c>
      <c r="E35">
        <f t="shared" si="0"/>
        <v>2.96</v>
      </c>
      <c r="F35">
        <v>357</v>
      </c>
      <c r="G35">
        <v>122</v>
      </c>
      <c r="H35">
        <v>0</v>
      </c>
      <c r="I35">
        <v>2</v>
      </c>
      <c r="J35">
        <v>0.3</v>
      </c>
      <c r="K35">
        <v>1</v>
      </c>
    </row>
    <row r="36" spans="1:12" x14ac:dyDescent="0.2">
      <c r="A36">
        <v>22</v>
      </c>
      <c r="B36">
        <v>23</v>
      </c>
      <c r="C36">
        <v>560</v>
      </c>
      <c r="D36">
        <v>789</v>
      </c>
      <c r="E36">
        <f t="shared" si="0"/>
        <v>2.29</v>
      </c>
      <c r="F36">
        <v>80</v>
      </c>
      <c r="G36">
        <v>121</v>
      </c>
      <c r="H36">
        <v>2</v>
      </c>
      <c r="I36">
        <v>0</v>
      </c>
      <c r="J36" t="s">
        <v>15</v>
      </c>
      <c r="K36">
        <v>1</v>
      </c>
    </row>
    <row r="37" spans="1:12" x14ac:dyDescent="0.2">
      <c r="A37">
        <v>23</v>
      </c>
      <c r="B37">
        <v>24</v>
      </c>
      <c r="C37">
        <v>789</v>
      </c>
      <c r="D37">
        <v>1044</v>
      </c>
      <c r="E37">
        <f t="shared" si="0"/>
        <v>2.5499999999999998</v>
      </c>
      <c r="F37">
        <v>63</v>
      </c>
      <c r="G37">
        <v>149</v>
      </c>
      <c r="H37">
        <v>2</v>
      </c>
      <c r="I37">
        <v>4</v>
      </c>
      <c r="J37" t="s">
        <v>15</v>
      </c>
      <c r="K37">
        <v>1</v>
      </c>
    </row>
    <row r="38" spans="1:12" x14ac:dyDescent="0.2">
      <c r="A38">
        <v>24</v>
      </c>
      <c r="B38">
        <v>25</v>
      </c>
      <c r="C38">
        <v>1044</v>
      </c>
      <c r="D38">
        <v>2026</v>
      </c>
      <c r="E38">
        <f t="shared" si="0"/>
        <v>9.82</v>
      </c>
      <c r="F38">
        <v>49</v>
      </c>
      <c r="G38">
        <v>163</v>
      </c>
      <c r="H38">
        <v>5</v>
      </c>
      <c r="I38">
        <v>0</v>
      </c>
      <c r="J38" t="s">
        <v>15</v>
      </c>
      <c r="K38">
        <v>1</v>
      </c>
    </row>
    <row r="39" spans="1:12" x14ac:dyDescent="0.2">
      <c r="A39">
        <v>25</v>
      </c>
      <c r="B39">
        <v>26</v>
      </c>
      <c r="C39">
        <v>2026</v>
      </c>
      <c r="D39">
        <v>2895</v>
      </c>
      <c r="E39">
        <f t="shared" si="0"/>
        <v>8.69</v>
      </c>
      <c r="F39">
        <v>82</v>
      </c>
      <c r="G39">
        <v>62</v>
      </c>
      <c r="H39">
        <v>0</v>
      </c>
      <c r="I39">
        <v>2</v>
      </c>
      <c r="J39" t="s">
        <v>15</v>
      </c>
      <c r="K39">
        <v>1</v>
      </c>
    </row>
    <row r="40" spans="1:12" x14ac:dyDescent="0.2">
      <c r="A40">
        <v>26</v>
      </c>
      <c r="B40">
        <v>27</v>
      </c>
      <c r="C40">
        <v>2895</v>
      </c>
      <c r="D40">
        <v>3606</v>
      </c>
      <c r="E40">
        <f t="shared" si="0"/>
        <v>7.11</v>
      </c>
      <c r="F40">
        <v>10</v>
      </c>
      <c r="G40">
        <v>0</v>
      </c>
      <c r="H40" t="s">
        <v>15</v>
      </c>
      <c r="I40" t="s">
        <v>15</v>
      </c>
      <c r="J40" t="s">
        <v>15</v>
      </c>
      <c r="K40">
        <v>1</v>
      </c>
    </row>
    <row r="42" spans="1:12" x14ac:dyDescent="0.2">
      <c r="A42">
        <v>26</v>
      </c>
      <c r="B42">
        <v>28</v>
      </c>
      <c r="C42">
        <v>3606</v>
      </c>
      <c r="D42">
        <v>4084</v>
      </c>
      <c r="E42">
        <f t="shared" si="0"/>
        <v>4.78</v>
      </c>
      <c r="F42">
        <v>59</v>
      </c>
      <c r="G42">
        <v>150</v>
      </c>
      <c r="H42">
        <v>0</v>
      </c>
      <c r="I42">
        <v>1</v>
      </c>
      <c r="J42" t="s">
        <v>15</v>
      </c>
      <c r="K42">
        <v>1</v>
      </c>
      <c r="L42" t="s">
        <v>25</v>
      </c>
    </row>
    <row r="43" spans="1:12" x14ac:dyDescent="0.2">
      <c r="A43">
        <v>28</v>
      </c>
      <c r="B43">
        <v>29</v>
      </c>
      <c r="C43">
        <v>4084</v>
      </c>
      <c r="D43">
        <v>4344</v>
      </c>
      <c r="E43">
        <f t="shared" si="0"/>
        <v>2.6</v>
      </c>
      <c r="F43">
        <v>235</v>
      </c>
      <c r="G43">
        <v>112</v>
      </c>
      <c r="H43">
        <v>0</v>
      </c>
      <c r="I43">
        <v>1</v>
      </c>
      <c r="J43" t="s">
        <v>15</v>
      </c>
      <c r="K43">
        <v>1</v>
      </c>
    </row>
    <row r="44" spans="1:12" x14ac:dyDescent="0.2">
      <c r="A44">
        <v>29</v>
      </c>
      <c r="B44">
        <v>30</v>
      </c>
      <c r="C44">
        <v>4344</v>
      </c>
      <c r="D44">
        <v>5212</v>
      </c>
      <c r="E44">
        <f t="shared" si="0"/>
        <v>8.68</v>
      </c>
      <c r="F44">
        <v>320</v>
      </c>
      <c r="G44">
        <v>178</v>
      </c>
      <c r="H44">
        <v>0</v>
      </c>
      <c r="I44">
        <v>2</v>
      </c>
      <c r="J44" t="s">
        <v>15</v>
      </c>
      <c r="K44">
        <v>1</v>
      </c>
    </row>
    <row r="45" spans="1:12" x14ac:dyDescent="0.2">
      <c r="A45">
        <v>30</v>
      </c>
      <c r="B45">
        <v>31</v>
      </c>
      <c r="C45">
        <v>5490</v>
      </c>
      <c r="D45">
        <v>5741</v>
      </c>
      <c r="E45">
        <f t="shared" si="0"/>
        <v>2.5099999999999998</v>
      </c>
      <c r="F45">
        <v>155</v>
      </c>
      <c r="G45">
        <v>116</v>
      </c>
      <c r="H45">
        <v>0</v>
      </c>
      <c r="I45">
        <v>2</v>
      </c>
      <c r="J45" t="s">
        <v>15</v>
      </c>
      <c r="K45">
        <v>1</v>
      </c>
    </row>
    <row r="46" spans="1:12" x14ac:dyDescent="0.2">
      <c r="A46">
        <v>31</v>
      </c>
      <c r="B46">
        <v>32</v>
      </c>
      <c r="C46">
        <v>5741</v>
      </c>
      <c r="D46">
        <v>7145</v>
      </c>
      <c r="E46">
        <f t="shared" si="0"/>
        <v>14.04</v>
      </c>
      <c r="F46">
        <v>242</v>
      </c>
      <c r="G46">
        <v>135</v>
      </c>
      <c r="H46">
        <v>1</v>
      </c>
      <c r="I46">
        <v>1</v>
      </c>
      <c r="J46" t="s">
        <v>15</v>
      </c>
      <c r="K46">
        <v>1</v>
      </c>
    </row>
    <row r="48" spans="1:12" x14ac:dyDescent="0.2">
      <c r="A48">
        <v>31</v>
      </c>
      <c r="B48">
        <v>33</v>
      </c>
      <c r="C48">
        <v>7685</v>
      </c>
      <c r="D48">
        <v>8265</v>
      </c>
      <c r="E48">
        <f t="shared" si="0"/>
        <v>5.8</v>
      </c>
      <c r="F48">
        <v>29</v>
      </c>
      <c r="G48">
        <v>133</v>
      </c>
      <c r="H48">
        <v>1</v>
      </c>
      <c r="I48">
        <v>1</v>
      </c>
      <c r="J48">
        <v>0</v>
      </c>
      <c r="K48">
        <v>0.5</v>
      </c>
    </row>
    <row r="49" spans="1:12" x14ac:dyDescent="0.2">
      <c r="A49">
        <v>33</v>
      </c>
      <c r="B49">
        <v>34</v>
      </c>
      <c r="C49">
        <v>8265</v>
      </c>
      <c r="D49">
        <v>8446</v>
      </c>
      <c r="E49">
        <f t="shared" si="0"/>
        <v>1.81</v>
      </c>
      <c r="F49">
        <v>285</v>
      </c>
      <c r="G49">
        <v>150</v>
      </c>
      <c r="H49">
        <v>2</v>
      </c>
      <c r="I49">
        <v>1</v>
      </c>
      <c r="J49">
        <v>0</v>
      </c>
      <c r="K49">
        <v>0.5</v>
      </c>
    </row>
    <row r="50" spans="1:12" x14ac:dyDescent="0.2">
      <c r="A50">
        <v>34</v>
      </c>
      <c r="B50">
        <v>35</v>
      </c>
      <c r="C50">
        <v>8446</v>
      </c>
      <c r="D50">
        <v>8524</v>
      </c>
      <c r="E50">
        <f t="shared" si="0"/>
        <v>0.78</v>
      </c>
      <c r="F50">
        <v>65</v>
      </c>
      <c r="G50">
        <v>100</v>
      </c>
      <c r="H50">
        <v>0</v>
      </c>
      <c r="I50">
        <v>0.3</v>
      </c>
      <c r="J50">
        <v>0</v>
      </c>
      <c r="K50">
        <v>0.5</v>
      </c>
    </row>
    <row r="51" spans="1:12" x14ac:dyDescent="0.2">
      <c r="A51">
        <v>35</v>
      </c>
      <c r="B51">
        <v>36</v>
      </c>
      <c r="C51">
        <v>8524</v>
      </c>
      <c r="D51">
        <v>9168</v>
      </c>
      <c r="E51">
        <f t="shared" si="0"/>
        <v>6.44</v>
      </c>
      <c r="F51">
        <v>284</v>
      </c>
      <c r="G51">
        <v>152</v>
      </c>
      <c r="H51">
        <v>2</v>
      </c>
      <c r="I51">
        <v>2</v>
      </c>
      <c r="J51" t="s">
        <v>15</v>
      </c>
      <c r="K51">
        <v>1</v>
      </c>
    </row>
    <row r="52" spans="1:12" x14ac:dyDescent="0.2">
      <c r="A52">
        <v>36</v>
      </c>
      <c r="B52">
        <v>37</v>
      </c>
      <c r="C52">
        <v>9168</v>
      </c>
      <c r="D52">
        <v>9349</v>
      </c>
      <c r="E52">
        <f t="shared" si="0"/>
        <v>1.81</v>
      </c>
      <c r="F52">
        <v>176</v>
      </c>
      <c r="G52">
        <v>128</v>
      </c>
      <c r="H52">
        <v>1</v>
      </c>
      <c r="I52">
        <v>0</v>
      </c>
      <c r="J52" t="s">
        <v>15</v>
      </c>
      <c r="K52">
        <v>1</v>
      </c>
    </row>
    <row r="53" spans="1:12" x14ac:dyDescent="0.2">
      <c r="A53">
        <v>37</v>
      </c>
      <c r="B53">
        <v>38</v>
      </c>
      <c r="C53">
        <v>9349</v>
      </c>
      <c r="D53">
        <v>9549</v>
      </c>
      <c r="E53">
        <f t="shared" si="0"/>
        <v>2</v>
      </c>
      <c r="F53">
        <v>95</v>
      </c>
      <c r="G53">
        <v>97</v>
      </c>
      <c r="H53">
        <v>0</v>
      </c>
      <c r="I53">
        <v>1</v>
      </c>
      <c r="J53" t="s">
        <v>15</v>
      </c>
      <c r="K53">
        <v>1</v>
      </c>
    </row>
    <row r="54" spans="1:12" x14ac:dyDescent="0.2">
      <c r="A54">
        <v>38</v>
      </c>
      <c r="B54">
        <v>39</v>
      </c>
      <c r="C54">
        <v>9549</v>
      </c>
      <c r="D54">
        <v>11013</v>
      </c>
      <c r="E54">
        <f t="shared" si="0"/>
        <v>14.64</v>
      </c>
      <c r="F54">
        <v>0</v>
      </c>
      <c r="G54">
        <v>180</v>
      </c>
      <c r="H54">
        <v>0.5</v>
      </c>
      <c r="I54">
        <v>2</v>
      </c>
      <c r="J54" t="s">
        <v>15</v>
      </c>
      <c r="K54">
        <v>1</v>
      </c>
    </row>
    <row r="55" spans="1:12" x14ac:dyDescent="0.2">
      <c r="A55">
        <v>39</v>
      </c>
      <c r="B55">
        <v>40</v>
      </c>
      <c r="C55">
        <v>11013</v>
      </c>
      <c r="D55">
        <v>11494</v>
      </c>
      <c r="E55">
        <f t="shared" si="0"/>
        <v>4.8099999999999996</v>
      </c>
      <c r="F55">
        <v>62</v>
      </c>
      <c r="G55">
        <v>86</v>
      </c>
      <c r="H55">
        <v>0.4</v>
      </c>
      <c r="I55">
        <v>0.4</v>
      </c>
      <c r="J55" t="s">
        <v>15</v>
      </c>
      <c r="K55">
        <v>1</v>
      </c>
    </row>
    <row r="56" spans="1:12" x14ac:dyDescent="0.2">
      <c r="A56">
        <v>40</v>
      </c>
      <c r="B56">
        <v>41</v>
      </c>
      <c r="C56">
        <v>11494</v>
      </c>
      <c r="D56">
        <v>12085</v>
      </c>
      <c r="E56">
        <f t="shared" si="0"/>
        <v>5.91</v>
      </c>
      <c r="F56">
        <v>108</v>
      </c>
      <c r="G56">
        <v>155</v>
      </c>
      <c r="H56" t="s">
        <v>15</v>
      </c>
      <c r="I56" t="s">
        <v>15</v>
      </c>
      <c r="J56" t="s">
        <v>15</v>
      </c>
      <c r="K56">
        <v>1</v>
      </c>
      <c r="L56" t="s">
        <v>24</v>
      </c>
    </row>
    <row r="57" spans="1:12" x14ac:dyDescent="0.2">
      <c r="A57">
        <v>41</v>
      </c>
      <c r="B57">
        <v>42</v>
      </c>
      <c r="C57">
        <v>12086</v>
      </c>
      <c r="D57">
        <v>13334</v>
      </c>
      <c r="E57">
        <f t="shared" si="0"/>
        <v>12.48</v>
      </c>
      <c r="F57">
        <v>5</v>
      </c>
      <c r="G57">
        <v>116</v>
      </c>
      <c r="H57" t="s">
        <v>15</v>
      </c>
      <c r="I57" t="s">
        <v>15</v>
      </c>
      <c r="J57" t="s">
        <v>15</v>
      </c>
      <c r="K57">
        <v>1</v>
      </c>
    </row>
    <row r="58" spans="1:12" x14ac:dyDescent="0.2">
      <c r="A58">
        <v>42</v>
      </c>
      <c r="B58">
        <v>43</v>
      </c>
      <c r="C58">
        <v>13334</v>
      </c>
      <c r="D58">
        <v>14638</v>
      </c>
      <c r="E58">
        <f t="shared" si="0"/>
        <v>13.04</v>
      </c>
      <c r="F58">
        <v>60</v>
      </c>
      <c r="G58">
        <v>79</v>
      </c>
      <c r="H58" t="s">
        <v>15</v>
      </c>
      <c r="I58" t="s">
        <v>15</v>
      </c>
      <c r="J58" t="s">
        <v>15</v>
      </c>
      <c r="K58">
        <v>1</v>
      </c>
    </row>
    <row r="59" spans="1:12" x14ac:dyDescent="0.2">
      <c r="A59">
        <v>43</v>
      </c>
      <c r="B59">
        <v>44</v>
      </c>
      <c r="C59">
        <v>14638</v>
      </c>
      <c r="D59">
        <v>15759</v>
      </c>
      <c r="E59">
        <f t="shared" si="0"/>
        <v>11.21</v>
      </c>
      <c r="F59">
        <v>19</v>
      </c>
      <c r="G59">
        <v>85</v>
      </c>
      <c r="H59" t="s">
        <v>15</v>
      </c>
      <c r="I59" t="s">
        <v>15</v>
      </c>
      <c r="J59" t="s">
        <v>15</v>
      </c>
      <c r="K59">
        <v>1</v>
      </c>
    </row>
    <row r="60" spans="1:12" x14ac:dyDescent="0.2">
      <c r="A60">
        <v>44</v>
      </c>
      <c r="B60">
        <v>45</v>
      </c>
      <c r="C60">
        <v>15759</v>
      </c>
      <c r="D60">
        <v>17265</v>
      </c>
      <c r="E60">
        <f t="shared" si="0"/>
        <v>15.06</v>
      </c>
      <c r="F60">
        <v>79</v>
      </c>
      <c r="G60">
        <v>113</v>
      </c>
      <c r="H60" t="s">
        <v>15</v>
      </c>
      <c r="I60" t="s">
        <v>15</v>
      </c>
      <c r="J60" t="s">
        <v>15</v>
      </c>
      <c r="K60">
        <v>1</v>
      </c>
    </row>
    <row r="61" spans="1:12" x14ac:dyDescent="0.2">
      <c r="A61">
        <v>45</v>
      </c>
      <c r="B61">
        <v>46</v>
      </c>
      <c r="C61">
        <v>17265</v>
      </c>
      <c r="D61">
        <v>19019</v>
      </c>
      <c r="E61">
        <f t="shared" si="0"/>
        <v>17.54</v>
      </c>
      <c r="F61">
        <v>104</v>
      </c>
      <c r="G61">
        <v>96</v>
      </c>
      <c r="H61" t="s">
        <v>15</v>
      </c>
      <c r="I61" t="s">
        <v>15</v>
      </c>
      <c r="J61" t="s">
        <v>15</v>
      </c>
      <c r="K61">
        <v>1</v>
      </c>
    </row>
    <row r="62" spans="1:12" x14ac:dyDescent="0.2">
      <c r="A62">
        <v>46</v>
      </c>
      <c r="B62">
        <v>47</v>
      </c>
      <c r="C62">
        <v>19019</v>
      </c>
      <c r="D62">
        <v>19385</v>
      </c>
      <c r="E62">
        <f t="shared" si="0"/>
        <v>3.66</v>
      </c>
      <c r="F62">
        <v>198</v>
      </c>
      <c r="G62">
        <v>51</v>
      </c>
      <c r="H62" t="s">
        <v>15</v>
      </c>
      <c r="I62" t="s">
        <v>15</v>
      </c>
      <c r="J62" t="s">
        <v>15</v>
      </c>
      <c r="K62">
        <v>1</v>
      </c>
    </row>
    <row r="63" spans="1:12" x14ac:dyDescent="0.2">
      <c r="A63">
        <v>47</v>
      </c>
      <c r="B63">
        <v>48</v>
      </c>
      <c r="C63">
        <v>19385</v>
      </c>
      <c r="D63">
        <v>19713</v>
      </c>
      <c r="E63">
        <f t="shared" si="0"/>
        <v>3.28</v>
      </c>
      <c r="F63">
        <v>98</v>
      </c>
      <c r="G63">
        <v>119</v>
      </c>
      <c r="H63" t="s">
        <v>15</v>
      </c>
      <c r="I63" t="s">
        <v>15</v>
      </c>
      <c r="J63" t="s">
        <v>15</v>
      </c>
      <c r="K63">
        <v>1</v>
      </c>
    </row>
    <row r="64" spans="1:12" x14ac:dyDescent="0.2">
      <c r="A64">
        <v>48</v>
      </c>
      <c r="B64">
        <v>49</v>
      </c>
      <c r="C64">
        <v>19713</v>
      </c>
      <c r="D64">
        <v>19984</v>
      </c>
      <c r="E64">
        <f t="shared" si="0"/>
        <v>2.71</v>
      </c>
      <c r="F64">
        <v>200</v>
      </c>
      <c r="G64">
        <v>122</v>
      </c>
      <c r="H64" t="s">
        <v>15</v>
      </c>
      <c r="I64" t="s">
        <v>15</v>
      </c>
      <c r="J64" t="s">
        <v>15</v>
      </c>
      <c r="K64">
        <v>1</v>
      </c>
      <c r="L64" t="s">
        <v>27</v>
      </c>
    </row>
    <row r="66" spans="1:19" x14ac:dyDescent="0.2">
      <c r="A66">
        <v>46</v>
      </c>
      <c r="B66">
        <v>50</v>
      </c>
      <c r="C66">
        <v>20002</v>
      </c>
      <c r="D66">
        <v>22504</v>
      </c>
      <c r="E66">
        <f t="shared" si="0"/>
        <v>25.02</v>
      </c>
      <c r="F66">
        <v>232</v>
      </c>
      <c r="G66">
        <v>94</v>
      </c>
      <c r="H66" t="s">
        <v>15</v>
      </c>
      <c r="I66" t="s">
        <v>15</v>
      </c>
      <c r="J66" t="s">
        <v>15</v>
      </c>
      <c r="K66">
        <v>1</v>
      </c>
    </row>
    <row r="67" spans="1:19" x14ac:dyDescent="0.2">
      <c r="A67">
        <v>50</v>
      </c>
      <c r="B67">
        <v>51</v>
      </c>
      <c r="C67">
        <v>22504</v>
      </c>
      <c r="D67">
        <v>25085</v>
      </c>
      <c r="E67">
        <f t="shared" si="0"/>
        <v>25.81</v>
      </c>
      <c r="F67">
        <v>234</v>
      </c>
      <c r="G67">
        <v>82</v>
      </c>
      <c r="H67" t="s">
        <v>15</v>
      </c>
      <c r="I67" t="s">
        <v>15</v>
      </c>
      <c r="J67" t="s">
        <v>15</v>
      </c>
      <c r="K67">
        <v>1</v>
      </c>
    </row>
    <row r="68" spans="1:19" x14ac:dyDescent="0.2">
      <c r="A68">
        <v>51</v>
      </c>
      <c r="B68">
        <v>52</v>
      </c>
      <c r="C68">
        <v>25085</v>
      </c>
      <c r="D68">
        <v>25839</v>
      </c>
      <c r="E68">
        <f t="shared" si="0"/>
        <v>7.54</v>
      </c>
      <c r="F68">
        <v>233</v>
      </c>
      <c r="G68">
        <v>77</v>
      </c>
      <c r="H68" t="s">
        <v>15</v>
      </c>
      <c r="I68" t="s">
        <v>15</v>
      </c>
      <c r="J68" t="s">
        <v>15</v>
      </c>
      <c r="K68">
        <v>1</v>
      </c>
    </row>
    <row r="69" spans="1:19" x14ac:dyDescent="0.2">
      <c r="A69">
        <v>52</v>
      </c>
      <c r="B69">
        <v>53</v>
      </c>
      <c r="C69">
        <v>25839</v>
      </c>
      <c r="D69">
        <v>26382</v>
      </c>
      <c r="E69">
        <f t="shared" si="0"/>
        <v>5.43</v>
      </c>
      <c r="F69">
        <v>128</v>
      </c>
      <c r="G69">
        <v>128</v>
      </c>
      <c r="H69" t="s">
        <v>15</v>
      </c>
      <c r="I69" t="s">
        <v>15</v>
      </c>
      <c r="J69" t="s">
        <v>15</v>
      </c>
      <c r="K69">
        <v>1</v>
      </c>
    </row>
    <row r="76" spans="1:19" x14ac:dyDescent="0.2">
      <c r="S76">
        <v>20</v>
      </c>
    </row>
    <row r="77" spans="1:19" x14ac:dyDescent="0.2">
      <c r="S77">
        <v>10</v>
      </c>
    </row>
    <row r="79" spans="1:19" x14ac:dyDescent="0.2">
      <c r="Q79">
        <v>37315</v>
      </c>
      <c r="R79">
        <v>38865</v>
      </c>
      <c r="S79">
        <f t="shared" ref="S79:S87" si="1">(R79-Q79)/100</f>
        <v>15.5</v>
      </c>
    </row>
    <row r="80" spans="1:19" x14ac:dyDescent="0.2">
      <c r="Q80">
        <v>38865</v>
      </c>
      <c r="R80">
        <v>39285</v>
      </c>
      <c r="S80">
        <f t="shared" si="1"/>
        <v>4.2</v>
      </c>
    </row>
    <row r="81" spans="17:19" x14ac:dyDescent="0.2">
      <c r="Q81">
        <v>39285</v>
      </c>
      <c r="R81">
        <v>39415</v>
      </c>
      <c r="S81">
        <f t="shared" si="1"/>
        <v>1.3</v>
      </c>
    </row>
    <row r="82" spans="17:19" x14ac:dyDescent="0.2">
      <c r="Q82">
        <v>39415</v>
      </c>
      <c r="R82">
        <v>40173</v>
      </c>
      <c r="S82">
        <f t="shared" si="1"/>
        <v>7.58</v>
      </c>
    </row>
    <row r="83" spans="17:19" x14ac:dyDescent="0.2">
      <c r="Q83">
        <v>40325</v>
      </c>
      <c r="R83">
        <v>41520</v>
      </c>
      <c r="S83">
        <f t="shared" si="1"/>
        <v>11.95</v>
      </c>
    </row>
    <row r="84" spans="17:19" x14ac:dyDescent="0.2">
      <c r="Q84">
        <v>41520</v>
      </c>
      <c r="R84">
        <v>42885</v>
      </c>
      <c r="S84">
        <f t="shared" si="1"/>
        <v>13.65</v>
      </c>
    </row>
    <row r="85" spans="17:19" x14ac:dyDescent="0.2">
      <c r="Q85">
        <v>42885</v>
      </c>
      <c r="R85">
        <v>43645</v>
      </c>
      <c r="S85">
        <f t="shared" si="1"/>
        <v>7.6</v>
      </c>
    </row>
    <row r="86" spans="17:19" x14ac:dyDescent="0.2">
      <c r="Q86">
        <v>43645</v>
      </c>
      <c r="R86">
        <v>44245</v>
      </c>
      <c r="S86">
        <f t="shared" si="1"/>
        <v>6</v>
      </c>
    </row>
    <row r="87" spans="17:19" x14ac:dyDescent="0.2">
      <c r="Q87">
        <v>44245</v>
      </c>
      <c r="R87">
        <v>44960</v>
      </c>
      <c r="S87">
        <f t="shared" si="1"/>
        <v>7.15</v>
      </c>
    </row>
    <row r="88" spans="17:19" x14ac:dyDescent="0.2">
      <c r="S88">
        <v>15</v>
      </c>
    </row>
    <row r="90" spans="17:19" x14ac:dyDescent="0.2">
      <c r="Q90">
        <v>44960</v>
      </c>
      <c r="R90">
        <v>45600</v>
      </c>
      <c r="S90">
        <f t="shared" ref="S90:S94" si="2">(R90-Q90)/100</f>
        <v>6.4</v>
      </c>
    </row>
    <row r="91" spans="17:19" x14ac:dyDescent="0.2">
      <c r="Q91">
        <v>45600</v>
      </c>
      <c r="R91">
        <v>46475</v>
      </c>
      <c r="S91">
        <f t="shared" si="2"/>
        <v>8.75</v>
      </c>
    </row>
    <row r="92" spans="17:19" x14ac:dyDescent="0.2">
      <c r="Q92">
        <v>46475</v>
      </c>
      <c r="R92">
        <v>47513</v>
      </c>
      <c r="S92">
        <f t="shared" si="2"/>
        <v>10.38</v>
      </c>
    </row>
    <row r="93" spans="17:19" x14ac:dyDescent="0.2">
      <c r="Q93">
        <v>47513</v>
      </c>
      <c r="R93">
        <v>48210</v>
      </c>
      <c r="S93">
        <f t="shared" si="2"/>
        <v>6.97</v>
      </c>
    </row>
    <row r="94" spans="17:19" x14ac:dyDescent="0.2">
      <c r="Q94">
        <v>48210</v>
      </c>
      <c r="R94">
        <v>49027</v>
      </c>
      <c r="S94">
        <f t="shared" si="2"/>
        <v>8.17</v>
      </c>
    </row>
    <row r="95" spans="17:19" x14ac:dyDescent="0.2">
      <c r="Q95">
        <v>49027</v>
      </c>
      <c r="R95">
        <v>49598</v>
      </c>
      <c r="S95">
        <f>(R95-Q95)/100*2</f>
        <v>11.42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Xavier Robert</cp:lastModifiedBy>
  <dcterms:created xsi:type="dcterms:W3CDTF">2025-02-25T14:58:31Z</dcterms:created>
  <dcterms:modified xsi:type="dcterms:W3CDTF">2025-02-26T13:27:09Z</dcterms:modified>
</cp:coreProperties>
</file>