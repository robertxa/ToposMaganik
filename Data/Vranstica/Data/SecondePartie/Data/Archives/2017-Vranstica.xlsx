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xaold/Documents/Speleo/Expes/Montenegro/Topos/Data/Vranstica/Data/SecondePartie/Data/"/>
    </mc:Choice>
  </mc:AlternateContent>
  <xr:revisionPtr revIDLastSave="0" documentId="13_ncr:1_{FD4D3633-CDCE-F448-91D9-746024E13C7B}" xr6:coauthVersionLast="47" xr6:coauthVersionMax="47" xr10:uidLastSave="{00000000-0000-0000-0000-000000000000}"/>
  <bookViews>
    <workbookView xWindow="80" yWindow="500" windowWidth="25040" windowHeight="14400" xr2:uid="{FF12A003-3AC8-474C-A773-E2E942C1B70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7" i="1" l="1"/>
  <c r="Q86" i="1"/>
  <c r="Q85" i="1"/>
  <c r="Q84" i="1"/>
  <c r="Q83" i="1"/>
  <c r="Q82" i="1"/>
  <c r="Q79" i="1"/>
  <c r="Q78" i="1"/>
  <c r="Q77" i="1"/>
  <c r="Q76" i="1"/>
  <c r="Q75" i="1"/>
  <c r="Q74" i="1"/>
  <c r="Q73" i="1"/>
  <c r="Q72" i="1"/>
  <c r="Q71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</calcChain>
</file>

<file path=xl/sharedStrings.xml><?xml version="1.0" encoding="utf-8"?>
<sst xmlns="http://schemas.openxmlformats.org/spreadsheetml/2006/main" count="68" uniqueCount="43">
  <si>
    <t>Vranstica</t>
  </si>
  <si>
    <t>Date</t>
  </si>
  <si>
    <t>team</t>
  </si>
  <si>
    <t xml:space="preserve">team </t>
  </si>
  <si>
    <t>Daniel Colliard</t>
  </si>
  <si>
    <t>D</t>
  </si>
  <si>
    <t>A</t>
  </si>
  <si>
    <t>filD</t>
  </si>
  <si>
    <t>FilA</t>
  </si>
  <si>
    <t>L</t>
  </si>
  <si>
    <t>P</t>
  </si>
  <si>
    <t>G</t>
  </si>
  <si>
    <t>H</t>
  </si>
  <si>
    <t>B</t>
  </si>
  <si>
    <t>Rem</t>
  </si>
  <si>
    <t>2017.08.02</t>
  </si>
  <si>
    <t>Jean-Michel Vallon</t>
  </si>
  <si>
    <t># Départ du bas du puits</t>
  </si>
  <si>
    <t>Az</t>
  </si>
  <si>
    <t>2b</t>
  </si>
  <si>
    <t>.</t>
  </si>
  <si>
    <t># base E ; arrivée d'un affluent, non exploré ? Arrêt sur etr.</t>
  </si>
  <si>
    <t>26b</t>
  </si>
  <si>
    <t># Départ affluent en RG ; ruisseau temporaire</t>
  </si>
  <si>
    <t># Depart affluent en RD</t>
  </si>
  <si>
    <t># Passage bas, gravier</t>
  </si>
  <si>
    <t># Attention, 2.5 m enlevé ; affluent en RD</t>
  </si>
  <si>
    <t># Accès à un étage inférieur, non exploré</t>
  </si>
  <si>
    <t># Départ en RG après une E5</t>
  </si>
  <si>
    <t>57b</t>
  </si>
  <si>
    <t>57c</t>
  </si>
  <si>
    <t># Aprox</t>
  </si>
  <si>
    <t># CF, visée approx, a voir</t>
  </si>
  <si>
    <t># Arrivée en RG, a explorer; Arrivée en RD à explorer/topo</t>
  </si>
  <si>
    <t># Affluent qui arrive du plafond</t>
  </si>
  <si>
    <t>66b</t>
  </si>
  <si>
    <t># Remontée vers une cheminée, visée approx</t>
  </si>
  <si>
    <t># Rivière</t>
  </si>
  <si>
    <t># Bassin</t>
  </si>
  <si>
    <t># Arrêt topo sur vasque</t>
  </si>
  <si>
    <t>Olivier Bigot</t>
  </si>
  <si>
    <t># Sommet Puits</t>
  </si>
  <si>
    <t># Départ en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</si>
</sst>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47F5-4A1F-204A-8F07-DD770482BBC0}">
  <dimension ref="A1:Q87"/>
  <sheetViews>
    <sheetView tabSelected="1" topLeftCell="A55" workbookViewId="0">
      <selection activeCell="J68" sqref="J68"/>
    </sheetView>
  </sheetViews>
  <sheetFormatPr baseColWidth="10" defaultRowHeight="16" x14ac:dyDescent="0.2"/>
  <sheetData>
    <row r="1" spans="1:17" x14ac:dyDescent="0.2">
      <c r="A1" t="s">
        <v>0</v>
      </c>
    </row>
    <row r="3" spans="1:17" x14ac:dyDescent="0.2">
      <c r="A3" t="s">
        <v>1</v>
      </c>
      <c r="B3" t="s">
        <v>15</v>
      </c>
    </row>
    <row r="4" spans="1:17" x14ac:dyDescent="0.2">
      <c r="A4" t="s">
        <v>2</v>
      </c>
      <c r="B4" t="s">
        <v>16</v>
      </c>
    </row>
    <row r="5" spans="1:17" x14ac:dyDescent="0.2">
      <c r="A5" t="s">
        <v>2</v>
      </c>
      <c r="B5" t="s">
        <v>40</v>
      </c>
    </row>
    <row r="6" spans="1:17" x14ac:dyDescent="0.2">
      <c r="A6" t="s">
        <v>3</v>
      </c>
      <c r="B6" t="s">
        <v>4</v>
      </c>
    </row>
    <row r="8" spans="1:17" x14ac:dyDescent="0.2">
      <c r="A8" s="1" t="s">
        <v>5</v>
      </c>
      <c r="B8" s="1" t="s">
        <v>6</v>
      </c>
      <c r="C8" s="1" t="s">
        <v>9</v>
      </c>
      <c r="D8" s="1" t="s">
        <v>18</v>
      </c>
      <c r="E8" s="1" t="s">
        <v>10</v>
      </c>
      <c r="F8" s="1" t="s">
        <v>11</v>
      </c>
      <c r="G8" s="1" t="s">
        <v>5</v>
      </c>
      <c r="H8" s="1" t="s">
        <v>12</v>
      </c>
      <c r="I8" s="1" t="s">
        <v>13</v>
      </c>
      <c r="J8" s="1" t="s">
        <v>14</v>
      </c>
      <c r="O8" s="1" t="s">
        <v>7</v>
      </c>
      <c r="P8" s="1" t="s">
        <v>8</v>
      </c>
      <c r="Q8" s="1" t="s">
        <v>9</v>
      </c>
    </row>
    <row r="9" spans="1:17" x14ac:dyDescent="0.2">
      <c r="A9">
        <v>0</v>
      </c>
      <c r="B9">
        <v>1</v>
      </c>
      <c r="C9">
        <v>24.16</v>
      </c>
      <c r="D9">
        <v>0</v>
      </c>
      <c r="E9">
        <v>90</v>
      </c>
      <c r="F9">
        <v>4</v>
      </c>
      <c r="G9">
        <v>4</v>
      </c>
      <c r="H9" t="s">
        <v>20</v>
      </c>
      <c r="I9" t="s">
        <v>20</v>
      </c>
      <c r="J9" t="s">
        <v>17</v>
      </c>
      <c r="O9">
        <v>60188</v>
      </c>
      <c r="P9">
        <v>62604</v>
      </c>
      <c r="Q9">
        <f>(P9-O9)/100</f>
        <v>24.16</v>
      </c>
    </row>
    <row r="10" spans="1:17" x14ac:dyDescent="0.2">
      <c r="A10">
        <v>1</v>
      </c>
      <c r="B10">
        <v>2</v>
      </c>
      <c r="C10">
        <v>6.58</v>
      </c>
      <c r="D10">
        <v>160</v>
      </c>
      <c r="E10">
        <v>90</v>
      </c>
      <c r="F10">
        <v>4</v>
      </c>
      <c r="G10">
        <v>4</v>
      </c>
      <c r="H10" t="s">
        <v>20</v>
      </c>
      <c r="I10" t="s">
        <v>20</v>
      </c>
      <c r="O10">
        <v>62604</v>
      </c>
      <c r="P10">
        <v>63262</v>
      </c>
      <c r="Q10">
        <f t="shared" ref="Q10:Q76" si="0">(P10-O10)/100</f>
        <v>6.58</v>
      </c>
    </row>
    <row r="11" spans="1:17" x14ac:dyDescent="0.2">
      <c r="A11">
        <v>2</v>
      </c>
      <c r="B11" t="s">
        <v>19</v>
      </c>
      <c r="C11">
        <v>8.61</v>
      </c>
      <c r="D11">
        <v>300</v>
      </c>
      <c r="E11">
        <v>43</v>
      </c>
      <c r="F11">
        <v>2</v>
      </c>
      <c r="G11">
        <v>6</v>
      </c>
      <c r="H11">
        <v>10</v>
      </c>
      <c r="I11">
        <v>1</v>
      </c>
      <c r="J11" t="s">
        <v>41</v>
      </c>
      <c r="O11">
        <v>63262</v>
      </c>
      <c r="P11">
        <v>64123</v>
      </c>
      <c r="Q11">
        <f t="shared" si="0"/>
        <v>8.61</v>
      </c>
    </row>
    <row r="12" spans="1:17" x14ac:dyDescent="0.2">
      <c r="A12" t="s">
        <v>19</v>
      </c>
      <c r="B12">
        <v>3</v>
      </c>
      <c r="C12">
        <v>13.6</v>
      </c>
      <c r="D12">
        <v>160</v>
      </c>
      <c r="E12">
        <v>85</v>
      </c>
      <c r="F12" t="s">
        <v>20</v>
      </c>
      <c r="G12" t="s">
        <v>20</v>
      </c>
      <c r="H12">
        <v>10</v>
      </c>
      <c r="I12">
        <v>1</v>
      </c>
      <c r="O12">
        <v>64123</v>
      </c>
      <c r="P12">
        <v>65483</v>
      </c>
      <c r="Q12">
        <f t="shared" si="0"/>
        <v>13.6</v>
      </c>
    </row>
    <row r="13" spans="1:17" x14ac:dyDescent="0.2">
      <c r="A13">
        <v>3</v>
      </c>
      <c r="B13">
        <v>4</v>
      </c>
      <c r="C13">
        <v>5.71</v>
      </c>
      <c r="D13">
        <v>255</v>
      </c>
      <c r="E13">
        <v>95</v>
      </c>
      <c r="F13" t="s">
        <v>20</v>
      </c>
      <c r="G13" t="s">
        <v>20</v>
      </c>
      <c r="H13">
        <v>10</v>
      </c>
      <c r="I13">
        <v>1</v>
      </c>
      <c r="O13">
        <v>65483</v>
      </c>
      <c r="P13">
        <v>66054</v>
      </c>
      <c r="Q13">
        <f t="shared" si="0"/>
        <v>5.71</v>
      </c>
    </row>
    <row r="14" spans="1:17" x14ac:dyDescent="0.2">
      <c r="A14">
        <v>4</v>
      </c>
      <c r="B14">
        <v>5</v>
      </c>
      <c r="C14">
        <v>3.47</v>
      </c>
      <c r="D14">
        <v>300</v>
      </c>
      <c r="E14">
        <v>85</v>
      </c>
      <c r="F14">
        <v>3</v>
      </c>
      <c r="G14">
        <v>5</v>
      </c>
      <c r="H14">
        <v>10</v>
      </c>
      <c r="I14">
        <v>1</v>
      </c>
      <c r="O14">
        <v>66054</v>
      </c>
      <c r="P14">
        <v>66401</v>
      </c>
      <c r="Q14">
        <f t="shared" si="0"/>
        <v>3.47</v>
      </c>
    </row>
    <row r="15" spans="1:17" x14ac:dyDescent="0.2">
      <c r="A15">
        <v>5</v>
      </c>
      <c r="B15">
        <v>6</v>
      </c>
      <c r="C15">
        <v>19.62</v>
      </c>
      <c r="D15">
        <v>285</v>
      </c>
      <c r="E15">
        <v>21</v>
      </c>
      <c r="F15">
        <v>3</v>
      </c>
      <c r="G15">
        <v>5</v>
      </c>
      <c r="H15">
        <v>10</v>
      </c>
      <c r="I15">
        <v>1</v>
      </c>
      <c r="O15">
        <v>66401</v>
      </c>
      <c r="P15">
        <v>68363</v>
      </c>
      <c r="Q15">
        <f t="shared" si="0"/>
        <v>19.62</v>
      </c>
    </row>
    <row r="16" spans="1:17" x14ac:dyDescent="0.2">
      <c r="A16">
        <v>6</v>
      </c>
      <c r="B16">
        <v>7</v>
      </c>
      <c r="C16">
        <v>22.4</v>
      </c>
      <c r="D16">
        <v>285</v>
      </c>
      <c r="E16">
        <v>24</v>
      </c>
      <c r="F16">
        <v>2</v>
      </c>
      <c r="G16">
        <v>2</v>
      </c>
      <c r="H16">
        <v>10</v>
      </c>
      <c r="I16">
        <v>1</v>
      </c>
      <c r="O16">
        <v>68363</v>
      </c>
      <c r="P16">
        <v>70603</v>
      </c>
      <c r="Q16">
        <f t="shared" si="0"/>
        <v>22.4</v>
      </c>
    </row>
    <row r="17" spans="1:17" x14ac:dyDescent="0.2">
      <c r="A17">
        <v>7</v>
      </c>
      <c r="B17">
        <v>8</v>
      </c>
      <c r="C17">
        <v>9.91</v>
      </c>
      <c r="D17">
        <v>255</v>
      </c>
      <c r="E17">
        <v>-3</v>
      </c>
      <c r="F17">
        <v>3</v>
      </c>
      <c r="G17">
        <v>5</v>
      </c>
      <c r="H17">
        <v>10</v>
      </c>
      <c r="I17">
        <v>1</v>
      </c>
      <c r="O17">
        <v>70603</v>
      </c>
      <c r="P17">
        <v>71594</v>
      </c>
      <c r="Q17">
        <f t="shared" si="0"/>
        <v>9.91</v>
      </c>
    </row>
    <row r="18" spans="1:17" x14ac:dyDescent="0.2">
      <c r="A18">
        <v>8</v>
      </c>
      <c r="B18">
        <v>9</v>
      </c>
      <c r="C18">
        <v>9.8000000000000007</v>
      </c>
      <c r="D18">
        <v>266</v>
      </c>
      <c r="E18">
        <v>32</v>
      </c>
      <c r="F18">
        <v>0</v>
      </c>
      <c r="G18">
        <v>10</v>
      </c>
      <c r="H18">
        <v>10</v>
      </c>
      <c r="I18">
        <v>1</v>
      </c>
      <c r="J18" t="s">
        <v>21</v>
      </c>
      <c r="O18">
        <v>71594</v>
      </c>
      <c r="P18">
        <v>72574</v>
      </c>
      <c r="Q18">
        <f t="shared" si="0"/>
        <v>9.8000000000000007</v>
      </c>
    </row>
    <row r="19" spans="1:17" x14ac:dyDescent="0.2">
      <c r="A19">
        <v>9</v>
      </c>
      <c r="B19">
        <v>10</v>
      </c>
      <c r="C19">
        <v>3.89</v>
      </c>
      <c r="D19">
        <v>265</v>
      </c>
      <c r="E19">
        <v>55</v>
      </c>
      <c r="F19">
        <v>0</v>
      </c>
      <c r="G19">
        <v>10</v>
      </c>
      <c r="H19">
        <v>12</v>
      </c>
      <c r="I19">
        <v>1</v>
      </c>
      <c r="O19">
        <v>72574</v>
      </c>
      <c r="P19">
        <v>72963</v>
      </c>
      <c r="Q19">
        <f t="shared" si="0"/>
        <v>3.89</v>
      </c>
    </row>
    <row r="20" spans="1:17" x14ac:dyDescent="0.2">
      <c r="A20">
        <v>10</v>
      </c>
      <c r="B20">
        <v>11</v>
      </c>
      <c r="C20">
        <v>4.7</v>
      </c>
      <c r="D20">
        <v>185</v>
      </c>
      <c r="E20">
        <v>45</v>
      </c>
      <c r="F20">
        <v>0</v>
      </c>
      <c r="G20">
        <v>10</v>
      </c>
      <c r="H20">
        <v>12</v>
      </c>
      <c r="I20">
        <v>1</v>
      </c>
      <c r="O20">
        <v>72963</v>
      </c>
      <c r="P20">
        <v>73433</v>
      </c>
      <c r="Q20">
        <f t="shared" si="0"/>
        <v>4.7</v>
      </c>
    </row>
    <row r="21" spans="1:17" x14ac:dyDescent="0.2">
      <c r="A21">
        <v>11</v>
      </c>
      <c r="B21">
        <v>12</v>
      </c>
      <c r="C21">
        <v>17.41</v>
      </c>
      <c r="D21">
        <v>180</v>
      </c>
      <c r="E21">
        <v>73</v>
      </c>
      <c r="F21">
        <v>4</v>
      </c>
      <c r="G21">
        <v>5</v>
      </c>
      <c r="H21">
        <v>10</v>
      </c>
      <c r="I21">
        <v>1</v>
      </c>
      <c r="O21">
        <v>73433</v>
      </c>
      <c r="P21">
        <v>75174</v>
      </c>
      <c r="Q21">
        <f t="shared" si="0"/>
        <v>17.41</v>
      </c>
    </row>
    <row r="22" spans="1:17" x14ac:dyDescent="0.2">
      <c r="A22">
        <v>12</v>
      </c>
      <c r="B22">
        <v>13</v>
      </c>
      <c r="C22">
        <v>26.79</v>
      </c>
      <c r="D22">
        <v>200</v>
      </c>
      <c r="E22">
        <v>40</v>
      </c>
      <c r="F22">
        <v>4</v>
      </c>
      <c r="G22">
        <v>4</v>
      </c>
      <c r="H22">
        <v>10</v>
      </c>
      <c r="I22">
        <v>1</v>
      </c>
      <c r="O22">
        <v>75274</v>
      </c>
      <c r="P22">
        <v>77953</v>
      </c>
      <c r="Q22">
        <f t="shared" si="0"/>
        <v>26.79</v>
      </c>
    </row>
    <row r="23" spans="1:17" x14ac:dyDescent="0.2">
      <c r="A23">
        <v>13</v>
      </c>
      <c r="B23">
        <v>14</v>
      </c>
      <c r="C23">
        <v>4.1399999999999997</v>
      </c>
      <c r="D23">
        <v>250</v>
      </c>
      <c r="E23">
        <v>41</v>
      </c>
      <c r="F23">
        <v>3</v>
      </c>
      <c r="G23">
        <v>5</v>
      </c>
      <c r="H23">
        <v>10</v>
      </c>
      <c r="I23">
        <v>1</v>
      </c>
      <c r="O23">
        <v>77953</v>
      </c>
      <c r="P23">
        <v>78367</v>
      </c>
      <c r="Q23">
        <f t="shared" si="0"/>
        <v>4.1399999999999997</v>
      </c>
    </row>
    <row r="24" spans="1:17" x14ac:dyDescent="0.2">
      <c r="A24">
        <v>14</v>
      </c>
      <c r="B24">
        <v>15</v>
      </c>
      <c r="C24">
        <v>10.38</v>
      </c>
      <c r="D24">
        <v>175</v>
      </c>
      <c r="E24">
        <v>26</v>
      </c>
      <c r="F24">
        <v>5</v>
      </c>
      <c r="G24">
        <v>0</v>
      </c>
      <c r="H24">
        <v>10</v>
      </c>
      <c r="I24">
        <v>1</v>
      </c>
      <c r="O24">
        <v>78367</v>
      </c>
      <c r="P24">
        <v>79405</v>
      </c>
      <c r="Q24">
        <f t="shared" si="0"/>
        <v>10.38</v>
      </c>
    </row>
    <row r="25" spans="1:17" x14ac:dyDescent="0.2">
      <c r="A25">
        <v>15</v>
      </c>
      <c r="B25">
        <v>16</v>
      </c>
      <c r="C25">
        <v>16.28</v>
      </c>
      <c r="D25">
        <v>170</v>
      </c>
      <c r="E25">
        <v>37</v>
      </c>
      <c r="F25">
        <v>1</v>
      </c>
      <c r="G25">
        <v>5</v>
      </c>
      <c r="H25">
        <v>10</v>
      </c>
      <c r="I25">
        <v>1</v>
      </c>
      <c r="O25">
        <v>79405</v>
      </c>
      <c r="P25">
        <v>81033</v>
      </c>
      <c r="Q25">
        <f t="shared" si="0"/>
        <v>16.28</v>
      </c>
    </row>
    <row r="26" spans="1:17" x14ac:dyDescent="0.2">
      <c r="A26">
        <v>16</v>
      </c>
      <c r="B26">
        <v>17</v>
      </c>
      <c r="C26">
        <v>12.6</v>
      </c>
      <c r="D26">
        <v>190</v>
      </c>
      <c r="E26">
        <v>40</v>
      </c>
      <c r="F26">
        <v>3</v>
      </c>
      <c r="G26">
        <v>5</v>
      </c>
      <c r="H26">
        <v>10</v>
      </c>
      <c r="I26">
        <v>1</v>
      </c>
      <c r="O26">
        <v>81033</v>
      </c>
      <c r="P26">
        <v>82293</v>
      </c>
      <c r="Q26">
        <f t="shared" si="0"/>
        <v>12.6</v>
      </c>
    </row>
    <row r="27" spans="1:17" x14ac:dyDescent="0.2">
      <c r="A27">
        <v>17</v>
      </c>
      <c r="B27">
        <v>18</v>
      </c>
      <c r="C27">
        <v>7.02</v>
      </c>
      <c r="D27">
        <v>180</v>
      </c>
      <c r="E27">
        <v>45</v>
      </c>
      <c r="F27">
        <v>0</v>
      </c>
      <c r="G27">
        <v>5</v>
      </c>
      <c r="H27">
        <v>10</v>
      </c>
      <c r="I27">
        <v>1</v>
      </c>
      <c r="O27">
        <v>82293</v>
      </c>
      <c r="P27">
        <v>82995</v>
      </c>
      <c r="Q27">
        <f t="shared" si="0"/>
        <v>7.02</v>
      </c>
    </row>
    <row r="28" spans="1:17" x14ac:dyDescent="0.2">
      <c r="A28">
        <v>18</v>
      </c>
      <c r="B28">
        <v>19</v>
      </c>
      <c r="C28">
        <v>14.68</v>
      </c>
      <c r="D28">
        <v>275</v>
      </c>
      <c r="E28">
        <v>20</v>
      </c>
      <c r="F28">
        <v>3</v>
      </c>
      <c r="G28">
        <v>5</v>
      </c>
      <c r="H28">
        <v>10</v>
      </c>
      <c r="I28">
        <v>1</v>
      </c>
      <c r="O28">
        <v>82995</v>
      </c>
      <c r="P28">
        <v>84463</v>
      </c>
      <c r="Q28">
        <f t="shared" si="0"/>
        <v>14.68</v>
      </c>
    </row>
    <row r="29" spans="1:17" x14ac:dyDescent="0.2">
      <c r="A29">
        <v>19</v>
      </c>
      <c r="B29">
        <v>20</v>
      </c>
      <c r="C29">
        <v>17.61</v>
      </c>
      <c r="D29">
        <v>240</v>
      </c>
      <c r="E29">
        <v>36</v>
      </c>
      <c r="F29">
        <v>2</v>
      </c>
      <c r="G29">
        <v>6</v>
      </c>
      <c r="H29">
        <v>10</v>
      </c>
      <c r="I29">
        <v>1</v>
      </c>
      <c r="O29">
        <v>84463</v>
      </c>
      <c r="P29">
        <v>86224</v>
      </c>
      <c r="Q29">
        <f t="shared" si="0"/>
        <v>17.61</v>
      </c>
    </row>
    <row r="30" spans="1:17" x14ac:dyDescent="0.2">
      <c r="A30">
        <v>20</v>
      </c>
      <c r="B30">
        <v>21</v>
      </c>
      <c r="C30">
        <v>14.17</v>
      </c>
      <c r="D30">
        <v>265</v>
      </c>
      <c r="E30">
        <v>37</v>
      </c>
      <c r="F30">
        <v>3</v>
      </c>
      <c r="G30">
        <v>3</v>
      </c>
      <c r="H30">
        <v>10</v>
      </c>
      <c r="I30">
        <v>1</v>
      </c>
      <c r="O30">
        <v>86873</v>
      </c>
      <c r="P30">
        <v>88290</v>
      </c>
      <c r="Q30">
        <f t="shared" si="0"/>
        <v>14.17</v>
      </c>
    </row>
    <row r="31" spans="1:17" x14ac:dyDescent="0.2">
      <c r="A31">
        <v>21</v>
      </c>
      <c r="B31">
        <v>22</v>
      </c>
      <c r="C31">
        <v>8.34</v>
      </c>
      <c r="D31">
        <v>285</v>
      </c>
      <c r="E31">
        <v>29</v>
      </c>
      <c r="F31">
        <v>3</v>
      </c>
      <c r="G31">
        <v>3</v>
      </c>
      <c r="H31">
        <v>10</v>
      </c>
      <c r="I31">
        <v>1</v>
      </c>
      <c r="O31">
        <v>88290</v>
      </c>
      <c r="P31">
        <v>89124</v>
      </c>
      <c r="Q31">
        <f t="shared" si="0"/>
        <v>8.34</v>
      </c>
    </row>
    <row r="32" spans="1:17" x14ac:dyDescent="0.2">
      <c r="A32">
        <v>22</v>
      </c>
      <c r="B32">
        <v>23</v>
      </c>
      <c r="C32">
        <v>29.4</v>
      </c>
      <c r="D32">
        <v>215</v>
      </c>
      <c r="E32">
        <v>26</v>
      </c>
      <c r="F32">
        <v>3</v>
      </c>
      <c r="G32">
        <v>5</v>
      </c>
      <c r="H32">
        <v>10</v>
      </c>
      <c r="I32">
        <v>1</v>
      </c>
      <c r="J32" t="s">
        <v>23</v>
      </c>
      <c r="O32">
        <v>89124</v>
      </c>
      <c r="P32">
        <v>92064</v>
      </c>
      <c r="Q32">
        <f t="shared" si="0"/>
        <v>29.4</v>
      </c>
    </row>
    <row r="33" spans="1:17" x14ac:dyDescent="0.2">
      <c r="A33">
        <v>23</v>
      </c>
      <c r="B33">
        <v>24</v>
      </c>
      <c r="C33">
        <v>17.59</v>
      </c>
      <c r="D33">
        <v>280</v>
      </c>
      <c r="E33">
        <v>22</v>
      </c>
      <c r="F33">
        <v>3</v>
      </c>
      <c r="G33">
        <v>5</v>
      </c>
      <c r="H33">
        <v>0</v>
      </c>
      <c r="I33">
        <v>1</v>
      </c>
      <c r="O33">
        <v>92064</v>
      </c>
      <c r="P33">
        <v>93823</v>
      </c>
      <c r="Q33">
        <f t="shared" si="0"/>
        <v>17.59</v>
      </c>
    </row>
    <row r="34" spans="1:17" x14ac:dyDescent="0.2">
      <c r="A34">
        <v>24</v>
      </c>
      <c r="B34">
        <v>25</v>
      </c>
      <c r="C34">
        <v>16.41</v>
      </c>
      <c r="D34">
        <v>185</v>
      </c>
      <c r="E34">
        <v>8</v>
      </c>
      <c r="F34">
        <v>5</v>
      </c>
      <c r="G34">
        <v>5</v>
      </c>
      <c r="H34">
        <v>5</v>
      </c>
      <c r="I34">
        <v>1</v>
      </c>
      <c r="J34" t="s">
        <v>24</v>
      </c>
      <c r="O34">
        <v>93823</v>
      </c>
      <c r="P34">
        <v>95464</v>
      </c>
      <c r="Q34">
        <f t="shared" si="0"/>
        <v>16.41</v>
      </c>
    </row>
    <row r="35" spans="1:17" x14ac:dyDescent="0.2">
      <c r="A35">
        <v>25</v>
      </c>
      <c r="B35">
        <v>26</v>
      </c>
      <c r="C35">
        <v>26.89</v>
      </c>
      <c r="D35">
        <v>240</v>
      </c>
      <c r="E35">
        <v>10</v>
      </c>
      <c r="F35">
        <v>1</v>
      </c>
      <c r="G35">
        <v>5</v>
      </c>
      <c r="H35">
        <v>5</v>
      </c>
      <c r="I35">
        <v>1</v>
      </c>
      <c r="O35">
        <v>95464</v>
      </c>
      <c r="P35">
        <v>98153</v>
      </c>
      <c r="Q35">
        <f t="shared" si="0"/>
        <v>26.89</v>
      </c>
    </row>
    <row r="36" spans="1:17" x14ac:dyDescent="0.2">
      <c r="A36">
        <v>26</v>
      </c>
      <c r="B36" t="s">
        <v>22</v>
      </c>
      <c r="C36">
        <v>18.47</v>
      </c>
      <c r="D36">
        <v>190</v>
      </c>
      <c r="E36">
        <v>12</v>
      </c>
      <c r="F36">
        <v>5</v>
      </c>
      <c r="G36">
        <v>5</v>
      </c>
      <c r="H36">
        <v>5</v>
      </c>
      <c r="I36">
        <v>1</v>
      </c>
      <c r="O36">
        <v>98153</v>
      </c>
      <c r="P36">
        <v>100000</v>
      </c>
      <c r="Q36">
        <f t="shared" si="0"/>
        <v>18.47</v>
      </c>
    </row>
    <row r="37" spans="1:17" x14ac:dyDescent="0.2">
      <c r="A37" t="s">
        <v>22</v>
      </c>
      <c r="B37">
        <v>27</v>
      </c>
      <c r="C37">
        <v>2.93</v>
      </c>
      <c r="D37">
        <v>190</v>
      </c>
      <c r="E37">
        <v>12</v>
      </c>
      <c r="F37">
        <v>5</v>
      </c>
      <c r="G37">
        <v>5</v>
      </c>
      <c r="H37">
        <v>5</v>
      </c>
      <c r="I37">
        <v>1</v>
      </c>
      <c r="O37">
        <v>0</v>
      </c>
      <c r="P37">
        <v>293</v>
      </c>
      <c r="Q37">
        <f t="shared" si="0"/>
        <v>2.93</v>
      </c>
    </row>
    <row r="38" spans="1:17" x14ac:dyDescent="0.2">
      <c r="A38">
        <v>27</v>
      </c>
      <c r="B38">
        <v>28</v>
      </c>
      <c r="C38">
        <v>3.89</v>
      </c>
      <c r="D38">
        <v>260</v>
      </c>
      <c r="E38">
        <v>6</v>
      </c>
      <c r="F38">
        <v>5</v>
      </c>
      <c r="G38">
        <v>5</v>
      </c>
      <c r="H38">
        <v>5</v>
      </c>
      <c r="I38">
        <v>1</v>
      </c>
      <c r="O38">
        <v>774</v>
      </c>
      <c r="P38">
        <v>1163</v>
      </c>
      <c r="Q38">
        <f t="shared" si="0"/>
        <v>3.89</v>
      </c>
    </row>
    <row r="39" spans="1:17" x14ac:dyDescent="0.2">
      <c r="A39">
        <v>28</v>
      </c>
      <c r="B39">
        <v>29</v>
      </c>
      <c r="C39">
        <v>20.48</v>
      </c>
      <c r="D39">
        <v>265</v>
      </c>
      <c r="E39">
        <v>10</v>
      </c>
      <c r="F39">
        <v>2</v>
      </c>
      <c r="G39">
        <v>2</v>
      </c>
      <c r="H39">
        <v>0.2</v>
      </c>
      <c r="I39">
        <v>1</v>
      </c>
      <c r="J39" t="s">
        <v>25</v>
      </c>
      <c r="O39">
        <v>1176</v>
      </c>
      <c r="P39">
        <v>3224</v>
      </c>
      <c r="Q39">
        <f t="shared" si="0"/>
        <v>20.48</v>
      </c>
    </row>
    <row r="40" spans="1:17" x14ac:dyDescent="0.2">
      <c r="A40">
        <v>29</v>
      </c>
      <c r="B40">
        <v>30</v>
      </c>
      <c r="C40">
        <v>15.21</v>
      </c>
      <c r="D40">
        <v>235</v>
      </c>
      <c r="E40">
        <v>-5</v>
      </c>
      <c r="F40">
        <v>3</v>
      </c>
      <c r="G40">
        <v>3</v>
      </c>
      <c r="H40">
        <v>7</v>
      </c>
      <c r="I40">
        <v>1</v>
      </c>
      <c r="O40">
        <v>3224</v>
      </c>
      <c r="P40">
        <v>4745</v>
      </c>
      <c r="Q40">
        <f t="shared" si="0"/>
        <v>15.21</v>
      </c>
    </row>
    <row r="41" spans="1:17" x14ac:dyDescent="0.2">
      <c r="A41">
        <v>30</v>
      </c>
      <c r="B41">
        <v>31</v>
      </c>
      <c r="C41">
        <v>15.2</v>
      </c>
      <c r="D41">
        <v>245</v>
      </c>
      <c r="E41">
        <v>-23</v>
      </c>
      <c r="F41">
        <v>4</v>
      </c>
      <c r="G41">
        <v>2</v>
      </c>
      <c r="H41">
        <v>7</v>
      </c>
      <c r="I41">
        <v>1</v>
      </c>
      <c r="J41" t="s">
        <v>26</v>
      </c>
      <c r="O41">
        <v>4745</v>
      </c>
      <c r="P41">
        <v>6515</v>
      </c>
      <c r="Q41">
        <f>(P41-O41)/100-2.5</f>
        <v>15.2</v>
      </c>
    </row>
    <row r="42" spans="1:17" x14ac:dyDescent="0.2">
      <c r="A42">
        <v>31</v>
      </c>
      <c r="B42">
        <v>32</v>
      </c>
      <c r="C42">
        <v>21.39</v>
      </c>
      <c r="D42">
        <v>265</v>
      </c>
      <c r="E42">
        <v>0</v>
      </c>
      <c r="F42">
        <v>3</v>
      </c>
      <c r="G42">
        <v>2</v>
      </c>
      <c r="H42">
        <v>7</v>
      </c>
      <c r="I42">
        <v>1</v>
      </c>
      <c r="O42">
        <v>6515</v>
      </c>
      <c r="P42">
        <v>8654</v>
      </c>
      <c r="Q42">
        <f t="shared" ref="Q42:Q108" si="1">(P42-O42)/100</f>
        <v>21.39</v>
      </c>
    </row>
    <row r="43" spans="1:17" x14ac:dyDescent="0.2">
      <c r="A43">
        <v>32</v>
      </c>
      <c r="B43">
        <v>33</v>
      </c>
      <c r="C43">
        <v>11.41</v>
      </c>
      <c r="D43">
        <v>230</v>
      </c>
      <c r="E43">
        <v>-19</v>
      </c>
      <c r="F43">
        <v>3</v>
      </c>
      <c r="G43">
        <v>2</v>
      </c>
      <c r="H43">
        <v>7</v>
      </c>
      <c r="I43">
        <v>1</v>
      </c>
      <c r="O43">
        <v>8654</v>
      </c>
      <c r="P43">
        <v>9795</v>
      </c>
      <c r="Q43">
        <f t="shared" si="1"/>
        <v>11.41</v>
      </c>
    </row>
    <row r="44" spans="1:17" x14ac:dyDescent="0.2">
      <c r="A44">
        <v>33</v>
      </c>
      <c r="B44">
        <v>34</v>
      </c>
      <c r="C44">
        <v>6.2</v>
      </c>
      <c r="D44">
        <v>240</v>
      </c>
      <c r="E44">
        <v>-21</v>
      </c>
      <c r="F44">
        <v>3</v>
      </c>
      <c r="G44">
        <v>2</v>
      </c>
      <c r="H44">
        <v>7</v>
      </c>
      <c r="I44">
        <v>1</v>
      </c>
      <c r="O44">
        <v>9795</v>
      </c>
      <c r="P44">
        <v>10415</v>
      </c>
      <c r="Q44">
        <f t="shared" si="1"/>
        <v>6.2</v>
      </c>
    </row>
    <row r="45" spans="1:17" x14ac:dyDescent="0.2">
      <c r="A45">
        <v>34</v>
      </c>
      <c r="B45">
        <v>35</v>
      </c>
      <c r="C45">
        <v>20.9</v>
      </c>
      <c r="D45">
        <v>276</v>
      </c>
      <c r="E45">
        <v>19</v>
      </c>
      <c r="F45">
        <v>3</v>
      </c>
      <c r="G45">
        <v>2</v>
      </c>
      <c r="H45">
        <v>7</v>
      </c>
      <c r="I45">
        <v>1</v>
      </c>
      <c r="O45">
        <v>10415</v>
      </c>
      <c r="P45">
        <v>12505</v>
      </c>
      <c r="Q45">
        <f t="shared" si="1"/>
        <v>20.9</v>
      </c>
    </row>
    <row r="46" spans="1:17" x14ac:dyDescent="0.2">
      <c r="A46">
        <v>35</v>
      </c>
      <c r="B46">
        <v>36</v>
      </c>
      <c r="C46">
        <v>24.61</v>
      </c>
      <c r="D46">
        <v>228</v>
      </c>
      <c r="E46">
        <v>10</v>
      </c>
      <c r="F46">
        <v>2</v>
      </c>
      <c r="G46">
        <v>2</v>
      </c>
      <c r="H46">
        <v>7</v>
      </c>
      <c r="I46">
        <v>1</v>
      </c>
      <c r="O46">
        <v>12505</v>
      </c>
      <c r="P46">
        <v>14966</v>
      </c>
      <c r="Q46">
        <f t="shared" si="1"/>
        <v>24.61</v>
      </c>
    </row>
    <row r="47" spans="1:17" x14ac:dyDescent="0.2">
      <c r="A47">
        <v>36</v>
      </c>
      <c r="B47">
        <v>37</v>
      </c>
      <c r="C47">
        <v>16.07</v>
      </c>
      <c r="D47">
        <v>225</v>
      </c>
      <c r="E47">
        <v>18</v>
      </c>
      <c r="F47">
        <v>2</v>
      </c>
      <c r="G47">
        <v>1</v>
      </c>
      <c r="H47">
        <v>7</v>
      </c>
      <c r="I47">
        <v>1</v>
      </c>
      <c r="O47">
        <v>14966</v>
      </c>
      <c r="P47">
        <v>16573</v>
      </c>
      <c r="Q47">
        <f t="shared" si="1"/>
        <v>16.07</v>
      </c>
    </row>
    <row r="48" spans="1:17" x14ac:dyDescent="0.2">
      <c r="A48">
        <v>37</v>
      </c>
      <c r="B48">
        <v>38</v>
      </c>
      <c r="C48">
        <v>18.600000000000001</v>
      </c>
      <c r="D48">
        <v>225</v>
      </c>
      <c r="E48">
        <v>-2</v>
      </c>
      <c r="F48" t="s">
        <v>20</v>
      </c>
      <c r="G48" t="s">
        <v>20</v>
      </c>
      <c r="H48" t="s">
        <v>20</v>
      </c>
      <c r="I48">
        <v>1</v>
      </c>
      <c r="O48">
        <v>16573</v>
      </c>
      <c r="P48">
        <v>18433</v>
      </c>
      <c r="Q48">
        <f t="shared" si="1"/>
        <v>18.600000000000001</v>
      </c>
    </row>
    <row r="49" spans="1:17" x14ac:dyDescent="0.2">
      <c r="A49">
        <v>38</v>
      </c>
      <c r="B49">
        <v>39</v>
      </c>
      <c r="C49">
        <v>9.5</v>
      </c>
      <c r="D49">
        <v>220</v>
      </c>
      <c r="E49">
        <v>17</v>
      </c>
      <c r="F49">
        <v>3</v>
      </c>
      <c r="G49">
        <v>3</v>
      </c>
      <c r="H49">
        <v>7</v>
      </c>
      <c r="I49">
        <v>1</v>
      </c>
      <c r="O49">
        <v>18433</v>
      </c>
      <c r="P49">
        <v>19383</v>
      </c>
      <c r="Q49">
        <f t="shared" si="1"/>
        <v>9.5</v>
      </c>
    </row>
    <row r="50" spans="1:17" x14ac:dyDescent="0.2">
      <c r="A50">
        <v>39</v>
      </c>
      <c r="B50">
        <v>40</v>
      </c>
      <c r="C50">
        <v>7.91</v>
      </c>
      <c r="D50">
        <v>248</v>
      </c>
      <c r="E50">
        <v>3</v>
      </c>
      <c r="F50">
        <v>5</v>
      </c>
      <c r="G50">
        <v>10</v>
      </c>
      <c r="H50">
        <v>7</v>
      </c>
      <c r="I50">
        <v>1</v>
      </c>
      <c r="O50">
        <v>19383</v>
      </c>
      <c r="P50">
        <v>20174</v>
      </c>
      <c r="Q50">
        <f t="shared" si="1"/>
        <v>7.91</v>
      </c>
    </row>
    <row r="51" spans="1:17" x14ac:dyDescent="0.2">
      <c r="A51">
        <v>40</v>
      </c>
      <c r="B51">
        <v>41</v>
      </c>
      <c r="C51">
        <v>4.29</v>
      </c>
      <c r="D51">
        <v>260</v>
      </c>
      <c r="E51">
        <v>30</v>
      </c>
      <c r="F51">
        <v>5</v>
      </c>
      <c r="G51">
        <v>10</v>
      </c>
      <c r="H51">
        <v>7</v>
      </c>
      <c r="I51">
        <v>1</v>
      </c>
      <c r="O51">
        <v>20174</v>
      </c>
      <c r="P51">
        <v>20603</v>
      </c>
      <c r="Q51">
        <f t="shared" si="1"/>
        <v>4.29</v>
      </c>
    </row>
    <row r="52" spans="1:17" x14ac:dyDescent="0.2">
      <c r="A52">
        <v>41</v>
      </c>
      <c r="B52">
        <v>42</v>
      </c>
      <c r="C52">
        <v>3.62</v>
      </c>
      <c r="D52">
        <v>270</v>
      </c>
      <c r="E52">
        <v>-20</v>
      </c>
      <c r="F52">
        <v>5</v>
      </c>
      <c r="G52">
        <v>10</v>
      </c>
      <c r="H52">
        <v>7</v>
      </c>
      <c r="I52">
        <v>1</v>
      </c>
      <c r="O52">
        <v>20603</v>
      </c>
      <c r="P52">
        <v>20965</v>
      </c>
      <c r="Q52">
        <f t="shared" si="1"/>
        <v>3.62</v>
      </c>
    </row>
    <row r="53" spans="1:17" x14ac:dyDescent="0.2">
      <c r="A53">
        <v>42</v>
      </c>
      <c r="B53">
        <v>43</v>
      </c>
      <c r="C53">
        <v>13.4</v>
      </c>
      <c r="D53">
        <v>250</v>
      </c>
      <c r="E53">
        <v>26</v>
      </c>
      <c r="F53">
        <v>9</v>
      </c>
      <c r="G53">
        <v>9</v>
      </c>
      <c r="H53">
        <v>7</v>
      </c>
      <c r="I53">
        <v>1</v>
      </c>
      <c r="O53">
        <v>20965</v>
      </c>
      <c r="P53">
        <v>22305</v>
      </c>
      <c r="Q53">
        <f t="shared" si="1"/>
        <v>13.4</v>
      </c>
    </row>
    <row r="54" spans="1:17" x14ac:dyDescent="0.2">
      <c r="A54">
        <v>43</v>
      </c>
      <c r="B54">
        <v>44</v>
      </c>
      <c r="C54">
        <v>5.48</v>
      </c>
      <c r="D54">
        <v>260</v>
      </c>
      <c r="E54">
        <v>66</v>
      </c>
      <c r="F54">
        <v>9</v>
      </c>
      <c r="G54">
        <v>9</v>
      </c>
      <c r="H54">
        <v>7</v>
      </c>
      <c r="I54">
        <v>1</v>
      </c>
      <c r="O54">
        <v>22305</v>
      </c>
      <c r="P54">
        <v>22853</v>
      </c>
      <c r="Q54">
        <f t="shared" si="1"/>
        <v>5.48</v>
      </c>
    </row>
    <row r="55" spans="1:17" x14ac:dyDescent="0.2">
      <c r="A55">
        <v>44</v>
      </c>
      <c r="B55">
        <v>45</v>
      </c>
      <c r="C55">
        <v>8.1</v>
      </c>
      <c r="D55">
        <v>25</v>
      </c>
      <c r="E55">
        <v>22</v>
      </c>
      <c r="F55">
        <v>3</v>
      </c>
      <c r="G55">
        <v>3</v>
      </c>
      <c r="H55">
        <v>5</v>
      </c>
      <c r="I55">
        <v>1</v>
      </c>
      <c r="O55">
        <v>22853</v>
      </c>
      <c r="P55">
        <v>23663</v>
      </c>
      <c r="Q55">
        <f t="shared" si="1"/>
        <v>8.1</v>
      </c>
    </row>
    <row r="56" spans="1:17" x14ac:dyDescent="0.2">
      <c r="A56">
        <v>45</v>
      </c>
      <c r="B56">
        <v>46</v>
      </c>
      <c r="C56">
        <v>7.92</v>
      </c>
      <c r="D56">
        <v>316</v>
      </c>
      <c r="E56">
        <v>31</v>
      </c>
      <c r="F56">
        <v>3</v>
      </c>
      <c r="G56">
        <v>3</v>
      </c>
      <c r="H56">
        <v>5</v>
      </c>
      <c r="I56">
        <v>1</v>
      </c>
      <c r="O56">
        <v>23663</v>
      </c>
      <c r="P56">
        <v>24455</v>
      </c>
      <c r="Q56">
        <f t="shared" si="1"/>
        <v>7.92</v>
      </c>
    </row>
    <row r="57" spans="1:17" x14ac:dyDescent="0.2">
      <c r="A57">
        <v>46</v>
      </c>
      <c r="B57">
        <v>47</v>
      </c>
      <c r="C57">
        <v>23.29</v>
      </c>
      <c r="D57">
        <v>285</v>
      </c>
      <c r="E57">
        <v>18</v>
      </c>
      <c r="F57">
        <v>3</v>
      </c>
      <c r="G57">
        <v>3</v>
      </c>
      <c r="H57">
        <v>5</v>
      </c>
      <c r="I57">
        <v>1</v>
      </c>
      <c r="O57">
        <v>24455</v>
      </c>
      <c r="P57">
        <v>26784</v>
      </c>
      <c r="Q57">
        <f t="shared" si="1"/>
        <v>23.29</v>
      </c>
    </row>
    <row r="58" spans="1:17" x14ac:dyDescent="0.2">
      <c r="A58">
        <v>47</v>
      </c>
      <c r="B58">
        <v>48</v>
      </c>
      <c r="C58">
        <v>26.5</v>
      </c>
      <c r="D58">
        <v>263</v>
      </c>
      <c r="E58">
        <v>28</v>
      </c>
      <c r="F58" t="s">
        <v>20</v>
      </c>
      <c r="G58" t="s">
        <v>20</v>
      </c>
      <c r="H58" t="s">
        <v>20</v>
      </c>
      <c r="I58">
        <v>1</v>
      </c>
      <c r="O58">
        <v>26784</v>
      </c>
      <c r="P58">
        <v>29434</v>
      </c>
      <c r="Q58">
        <f t="shared" si="1"/>
        <v>26.5</v>
      </c>
    </row>
    <row r="59" spans="1:17" x14ac:dyDescent="0.2">
      <c r="A59">
        <v>48</v>
      </c>
      <c r="B59">
        <v>49</v>
      </c>
      <c r="C59">
        <v>11.07</v>
      </c>
      <c r="D59">
        <v>286</v>
      </c>
      <c r="E59">
        <v>15</v>
      </c>
      <c r="F59" t="s">
        <v>20</v>
      </c>
      <c r="G59" t="s">
        <v>20</v>
      </c>
      <c r="H59" t="s">
        <v>20</v>
      </c>
      <c r="I59">
        <v>1</v>
      </c>
      <c r="J59" t="s">
        <v>27</v>
      </c>
      <c r="O59">
        <v>29434</v>
      </c>
      <c r="P59">
        <v>30541</v>
      </c>
      <c r="Q59">
        <f t="shared" si="1"/>
        <v>11.07</v>
      </c>
    </row>
    <row r="60" spans="1:17" x14ac:dyDescent="0.2">
      <c r="A60">
        <v>49</v>
      </c>
      <c r="B60">
        <v>50</v>
      </c>
      <c r="C60">
        <v>4.9400000000000004</v>
      </c>
      <c r="D60">
        <v>370</v>
      </c>
      <c r="E60">
        <v>25</v>
      </c>
      <c r="F60">
        <v>2.5</v>
      </c>
      <c r="G60">
        <v>2.5</v>
      </c>
      <c r="H60">
        <v>7</v>
      </c>
      <c r="I60">
        <v>1</v>
      </c>
      <c r="O60">
        <v>30541</v>
      </c>
      <c r="P60">
        <v>31035</v>
      </c>
      <c r="Q60">
        <f t="shared" si="1"/>
        <v>4.9400000000000004</v>
      </c>
    </row>
    <row r="61" spans="1:17" x14ac:dyDescent="0.2">
      <c r="A61">
        <v>50</v>
      </c>
      <c r="B61">
        <v>51</v>
      </c>
      <c r="C61">
        <v>14.19</v>
      </c>
      <c r="D61">
        <v>290</v>
      </c>
      <c r="E61">
        <v>-20</v>
      </c>
      <c r="F61">
        <v>1</v>
      </c>
      <c r="G61">
        <v>1</v>
      </c>
      <c r="H61">
        <v>7</v>
      </c>
      <c r="I61">
        <v>1</v>
      </c>
      <c r="O61">
        <v>31035</v>
      </c>
      <c r="P61">
        <v>32454</v>
      </c>
      <c r="Q61">
        <f t="shared" si="1"/>
        <v>14.19</v>
      </c>
    </row>
    <row r="62" spans="1:17" x14ac:dyDescent="0.2">
      <c r="A62">
        <v>51</v>
      </c>
      <c r="B62">
        <v>52</v>
      </c>
      <c r="C62">
        <v>14.11</v>
      </c>
      <c r="D62">
        <v>290</v>
      </c>
      <c r="E62">
        <v>5</v>
      </c>
      <c r="F62">
        <v>2.5</v>
      </c>
      <c r="G62">
        <v>2.5</v>
      </c>
      <c r="H62">
        <v>8</v>
      </c>
      <c r="I62">
        <v>1</v>
      </c>
      <c r="O62">
        <v>32454</v>
      </c>
      <c r="P62">
        <v>33865</v>
      </c>
      <c r="Q62">
        <f t="shared" si="1"/>
        <v>14.11</v>
      </c>
    </row>
    <row r="63" spans="1:17" x14ac:dyDescent="0.2">
      <c r="A63">
        <v>52</v>
      </c>
      <c r="B63">
        <v>53</v>
      </c>
      <c r="C63">
        <v>5.95</v>
      </c>
      <c r="D63">
        <v>310</v>
      </c>
      <c r="E63">
        <v>38</v>
      </c>
      <c r="F63">
        <v>2.5</v>
      </c>
      <c r="G63">
        <v>2.5</v>
      </c>
      <c r="H63">
        <v>8</v>
      </c>
      <c r="I63">
        <v>1</v>
      </c>
      <c r="O63">
        <v>33865</v>
      </c>
      <c r="P63">
        <v>34460</v>
      </c>
      <c r="Q63">
        <f t="shared" si="1"/>
        <v>5.95</v>
      </c>
    </row>
    <row r="64" spans="1:17" x14ac:dyDescent="0.2">
      <c r="A64">
        <v>53</v>
      </c>
      <c r="B64">
        <v>54</v>
      </c>
      <c r="C64">
        <v>3.81</v>
      </c>
      <c r="D64">
        <v>305</v>
      </c>
      <c r="E64">
        <v>46</v>
      </c>
      <c r="F64">
        <v>2.5</v>
      </c>
      <c r="G64">
        <v>2.5</v>
      </c>
      <c r="H64">
        <v>8</v>
      </c>
      <c r="I64">
        <v>1</v>
      </c>
      <c r="J64" t="s">
        <v>28</v>
      </c>
      <c r="O64">
        <v>34460</v>
      </c>
      <c r="P64">
        <v>34841</v>
      </c>
      <c r="Q64">
        <f t="shared" si="1"/>
        <v>3.81</v>
      </c>
    </row>
    <row r="65" spans="1:17" x14ac:dyDescent="0.2">
      <c r="A65">
        <v>54</v>
      </c>
      <c r="B65">
        <v>55</v>
      </c>
      <c r="C65">
        <v>7.94</v>
      </c>
      <c r="D65">
        <v>276</v>
      </c>
      <c r="E65">
        <v>38</v>
      </c>
      <c r="F65">
        <v>2.5</v>
      </c>
      <c r="G65">
        <v>2.5</v>
      </c>
      <c r="H65">
        <v>8</v>
      </c>
      <c r="I65">
        <v>1</v>
      </c>
      <c r="O65">
        <v>34841</v>
      </c>
      <c r="P65">
        <v>35635</v>
      </c>
      <c r="Q65">
        <f t="shared" si="1"/>
        <v>7.94</v>
      </c>
    </row>
    <row r="66" spans="1:17" x14ac:dyDescent="0.2">
      <c r="A66">
        <v>55</v>
      </c>
      <c r="B66">
        <v>56</v>
      </c>
      <c r="C66">
        <v>9.09</v>
      </c>
      <c r="D66">
        <v>220</v>
      </c>
      <c r="E66">
        <v>-2</v>
      </c>
      <c r="F66">
        <v>2.5</v>
      </c>
      <c r="G66">
        <v>2.5</v>
      </c>
      <c r="H66">
        <v>8</v>
      </c>
      <c r="I66">
        <v>1</v>
      </c>
      <c r="O66">
        <v>35635</v>
      </c>
      <c r="P66">
        <v>36544</v>
      </c>
      <c r="Q66">
        <f t="shared" si="1"/>
        <v>9.09</v>
      </c>
    </row>
    <row r="67" spans="1:17" x14ac:dyDescent="0.2">
      <c r="A67">
        <v>56</v>
      </c>
      <c r="B67">
        <v>57</v>
      </c>
      <c r="C67">
        <v>7.71</v>
      </c>
      <c r="D67">
        <v>220</v>
      </c>
      <c r="E67">
        <v>21</v>
      </c>
      <c r="F67">
        <v>3</v>
      </c>
      <c r="G67">
        <v>3</v>
      </c>
      <c r="H67">
        <v>5</v>
      </c>
      <c r="I67">
        <v>1</v>
      </c>
      <c r="J67" t="s">
        <v>42</v>
      </c>
      <c r="O67">
        <v>36544</v>
      </c>
      <c r="P67">
        <v>37315</v>
      </c>
      <c r="Q67">
        <f t="shared" si="1"/>
        <v>7.71</v>
      </c>
    </row>
    <row r="68" spans="1:17" x14ac:dyDescent="0.2">
      <c r="A68">
        <v>57</v>
      </c>
      <c r="B68" t="s">
        <v>29</v>
      </c>
      <c r="C68">
        <v>20</v>
      </c>
      <c r="D68">
        <v>75</v>
      </c>
      <c r="E68">
        <v>0</v>
      </c>
      <c r="F68">
        <v>3</v>
      </c>
      <c r="G68">
        <v>3</v>
      </c>
      <c r="H68">
        <v>5</v>
      </c>
      <c r="I68">
        <v>1</v>
      </c>
      <c r="J68" t="s">
        <v>31</v>
      </c>
      <c r="Q68">
        <v>20</v>
      </c>
    </row>
    <row r="69" spans="1:17" x14ac:dyDescent="0.2">
      <c r="A69" t="s">
        <v>29</v>
      </c>
      <c r="B69" t="s">
        <v>30</v>
      </c>
      <c r="C69">
        <v>10</v>
      </c>
      <c r="D69">
        <v>220</v>
      </c>
      <c r="E69">
        <v>0</v>
      </c>
      <c r="F69">
        <v>3</v>
      </c>
      <c r="G69">
        <v>3</v>
      </c>
      <c r="H69">
        <v>5</v>
      </c>
      <c r="I69">
        <v>1</v>
      </c>
      <c r="J69" t="s">
        <v>32</v>
      </c>
      <c r="Q69">
        <v>10</v>
      </c>
    </row>
    <row r="71" spans="1:17" x14ac:dyDescent="0.2">
      <c r="A71">
        <v>57</v>
      </c>
      <c r="B71">
        <v>58</v>
      </c>
      <c r="C71">
        <v>15.5</v>
      </c>
      <c r="D71">
        <v>245</v>
      </c>
      <c r="E71">
        <v>-26</v>
      </c>
      <c r="F71">
        <v>3</v>
      </c>
      <c r="G71">
        <v>3</v>
      </c>
      <c r="H71">
        <v>5</v>
      </c>
      <c r="I71">
        <v>1</v>
      </c>
      <c r="O71">
        <v>37315</v>
      </c>
      <c r="P71">
        <v>38865</v>
      </c>
      <c r="Q71">
        <f t="shared" ref="Q71:Q137" si="2">(P71-O71)/100</f>
        <v>15.5</v>
      </c>
    </row>
    <row r="72" spans="1:17" x14ac:dyDescent="0.2">
      <c r="A72">
        <v>58</v>
      </c>
      <c r="B72">
        <v>59</v>
      </c>
      <c r="C72">
        <v>4.2</v>
      </c>
      <c r="D72">
        <v>315</v>
      </c>
      <c r="E72">
        <v>24</v>
      </c>
      <c r="F72">
        <v>2</v>
      </c>
      <c r="G72">
        <v>4</v>
      </c>
      <c r="H72">
        <v>5</v>
      </c>
      <c r="I72">
        <v>1</v>
      </c>
      <c r="O72">
        <v>38865</v>
      </c>
      <c r="P72">
        <v>39285</v>
      </c>
      <c r="Q72">
        <f t="shared" si="2"/>
        <v>4.2</v>
      </c>
    </row>
    <row r="73" spans="1:17" x14ac:dyDescent="0.2">
      <c r="A73">
        <v>59</v>
      </c>
      <c r="B73">
        <v>60</v>
      </c>
      <c r="C73">
        <v>1.3</v>
      </c>
      <c r="D73">
        <v>315</v>
      </c>
      <c r="E73">
        <v>0</v>
      </c>
      <c r="F73" t="s">
        <v>20</v>
      </c>
      <c r="G73" t="s">
        <v>20</v>
      </c>
      <c r="H73" t="s">
        <v>20</v>
      </c>
      <c r="I73">
        <v>1</v>
      </c>
      <c r="O73">
        <v>39285</v>
      </c>
      <c r="P73">
        <v>39415</v>
      </c>
      <c r="Q73">
        <f t="shared" si="2"/>
        <v>1.3</v>
      </c>
    </row>
    <row r="74" spans="1:17" x14ac:dyDescent="0.2">
      <c r="A74">
        <v>60</v>
      </c>
      <c r="B74">
        <v>61</v>
      </c>
      <c r="C74">
        <v>7.58</v>
      </c>
      <c r="D74">
        <v>250</v>
      </c>
      <c r="E74">
        <v>57</v>
      </c>
      <c r="F74">
        <v>1</v>
      </c>
      <c r="G74">
        <v>9</v>
      </c>
      <c r="H74">
        <v>6</v>
      </c>
      <c r="I74">
        <v>1</v>
      </c>
      <c r="J74" t="s">
        <v>33</v>
      </c>
      <c r="O74">
        <v>39415</v>
      </c>
      <c r="P74">
        <v>40173</v>
      </c>
      <c r="Q74">
        <f t="shared" si="2"/>
        <v>7.58</v>
      </c>
    </row>
    <row r="75" spans="1:17" x14ac:dyDescent="0.2">
      <c r="A75">
        <v>61</v>
      </c>
      <c r="B75">
        <v>62</v>
      </c>
      <c r="C75">
        <v>11.95</v>
      </c>
      <c r="D75">
        <v>275</v>
      </c>
      <c r="E75">
        <v>-29</v>
      </c>
      <c r="F75">
        <v>0</v>
      </c>
      <c r="G75">
        <v>5</v>
      </c>
      <c r="H75">
        <v>6</v>
      </c>
      <c r="I75">
        <v>1</v>
      </c>
      <c r="J75" t="s">
        <v>34</v>
      </c>
      <c r="O75">
        <v>40325</v>
      </c>
      <c r="P75">
        <v>41520</v>
      </c>
      <c r="Q75">
        <f t="shared" si="2"/>
        <v>11.95</v>
      </c>
    </row>
    <row r="76" spans="1:17" x14ac:dyDescent="0.2">
      <c r="A76">
        <v>62</v>
      </c>
      <c r="B76">
        <v>63</v>
      </c>
      <c r="C76">
        <v>13.65</v>
      </c>
      <c r="D76">
        <v>315</v>
      </c>
      <c r="E76">
        <v>45</v>
      </c>
      <c r="F76">
        <v>5</v>
      </c>
      <c r="G76">
        <v>0</v>
      </c>
      <c r="H76">
        <v>6</v>
      </c>
      <c r="I76">
        <v>1</v>
      </c>
      <c r="O76">
        <v>41520</v>
      </c>
      <c r="P76">
        <v>42885</v>
      </c>
      <c r="Q76">
        <f t="shared" si="2"/>
        <v>13.65</v>
      </c>
    </row>
    <row r="77" spans="1:17" x14ac:dyDescent="0.2">
      <c r="A77">
        <v>63</v>
      </c>
      <c r="B77">
        <v>64</v>
      </c>
      <c r="C77">
        <v>7.6</v>
      </c>
      <c r="D77">
        <v>270</v>
      </c>
      <c r="E77">
        <v>36</v>
      </c>
      <c r="F77">
        <v>1</v>
      </c>
      <c r="G77">
        <v>4</v>
      </c>
      <c r="H77">
        <v>6</v>
      </c>
      <c r="I77">
        <v>1</v>
      </c>
      <c r="O77">
        <v>42885</v>
      </c>
      <c r="P77">
        <v>43645</v>
      </c>
      <c r="Q77">
        <f t="shared" si="2"/>
        <v>7.6</v>
      </c>
    </row>
    <row r="78" spans="1:17" x14ac:dyDescent="0.2">
      <c r="A78">
        <v>64</v>
      </c>
      <c r="B78">
        <v>65</v>
      </c>
      <c r="C78">
        <v>6</v>
      </c>
      <c r="D78">
        <v>306</v>
      </c>
      <c r="E78">
        <v>13</v>
      </c>
      <c r="F78">
        <v>0</v>
      </c>
      <c r="G78">
        <v>5</v>
      </c>
      <c r="H78">
        <v>6</v>
      </c>
      <c r="I78">
        <v>1</v>
      </c>
      <c r="O78">
        <v>43645</v>
      </c>
      <c r="P78">
        <v>44245</v>
      </c>
      <c r="Q78">
        <f t="shared" si="2"/>
        <v>6</v>
      </c>
    </row>
    <row r="79" spans="1:17" x14ac:dyDescent="0.2">
      <c r="A79">
        <v>65</v>
      </c>
      <c r="B79">
        <v>66</v>
      </c>
      <c r="C79">
        <v>7.15</v>
      </c>
      <c r="D79">
        <v>275</v>
      </c>
      <c r="E79">
        <v>26</v>
      </c>
      <c r="F79">
        <v>3</v>
      </c>
      <c r="G79">
        <v>3</v>
      </c>
      <c r="H79">
        <v>6</v>
      </c>
      <c r="I79">
        <v>1</v>
      </c>
      <c r="O79">
        <v>44245</v>
      </c>
      <c r="P79">
        <v>44960</v>
      </c>
      <c r="Q79">
        <f t="shared" si="2"/>
        <v>7.15</v>
      </c>
    </row>
    <row r="80" spans="1:17" x14ac:dyDescent="0.2">
      <c r="A80">
        <v>66</v>
      </c>
      <c r="B80" t="s">
        <v>35</v>
      </c>
      <c r="C80">
        <v>15</v>
      </c>
      <c r="D80">
        <v>120</v>
      </c>
      <c r="E80">
        <v>30</v>
      </c>
      <c r="F80">
        <v>2</v>
      </c>
      <c r="G80">
        <v>2</v>
      </c>
      <c r="H80">
        <v>2</v>
      </c>
      <c r="I80">
        <v>1</v>
      </c>
      <c r="J80" t="s">
        <v>36</v>
      </c>
      <c r="Q80">
        <v>15</v>
      </c>
    </row>
    <row r="82" spans="1:17" x14ac:dyDescent="0.2">
      <c r="A82">
        <v>66</v>
      </c>
      <c r="B82">
        <v>67</v>
      </c>
      <c r="C82">
        <v>6.4</v>
      </c>
      <c r="D82">
        <v>302</v>
      </c>
      <c r="E82">
        <v>30</v>
      </c>
      <c r="F82">
        <v>3</v>
      </c>
      <c r="G82">
        <v>3</v>
      </c>
      <c r="H82">
        <v>6</v>
      </c>
      <c r="I82">
        <v>1</v>
      </c>
      <c r="O82">
        <v>44960</v>
      </c>
      <c r="P82">
        <v>45600</v>
      </c>
      <c r="Q82">
        <f t="shared" ref="Q82:Q91" si="3">(P82-O82)/100</f>
        <v>6.4</v>
      </c>
    </row>
    <row r="83" spans="1:17" x14ac:dyDescent="0.2">
      <c r="A83">
        <v>67</v>
      </c>
      <c r="B83">
        <v>68</v>
      </c>
      <c r="C83">
        <v>8.75</v>
      </c>
      <c r="D83">
        <v>292</v>
      </c>
      <c r="E83">
        <v>38</v>
      </c>
      <c r="F83">
        <v>3</v>
      </c>
      <c r="G83">
        <v>3</v>
      </c>
      <c r="H83">
        <v>6</v>
      </c>
      <c r="I83">
        <v>1</v>
      </c>
      <c r="O83">
        <v>45600</v>
      </c>
      <c r="P83">
        <v>46475</v>
      </c>
      <c r="Q83">
        <f t="shared" si="3"/>
        <v>8.75</v>
      </c>
    </row>
    <row r="84" spans="1:17" x14ac:dyDescent="0.2">
      <c r="A84">
        <v>68</v>
      </c>
      <c r="B84">
        <v>69</v>
      </c>
      <c r="C84">
        <v>10.38</v>
      </c>
      <c r="D84">
        <v>290</v>
      </c>
      <c r="E84">
        <v>25</v>
      </c>
      <c r="F84">
        <v>4</v>
      </c>
      <c r="G84">
        <v>0</v>
      </c>
      <c r="H84">
        <v>6</v>
      </c>
      <c r="I84">
        <v>1</v>
      </c>
      <c r="J84" t="s">
        <v>37</v>
      </c>
      <c r="O84">
        <v>46475</v>
      </c>
      <c r="P84">
        <v>47513</v>
      </c>
      <c r="Q84">
        <f t="shared" si="3"/>
        <v>10.38</v>
      </c>
    </row>
    <row r="85" spans="1:17" x14ac:dyDescent="0.2">
      <c r="A85">
        <v>69</v>
      </c>
      <c r="B85">
        <v>70</v>
      </c>
      <c r="C85">
        <v>6.97</v>
      </c>
      <c r="D85">
        <v>275</v>
      </c>
      <c r="E85">
        <v>12</v>
      </c>
      <c r="F85">
        <v>1</v>
      </c>
      <c r="G85">
        <v>1</v>
      </c>
      <c r="H85">
        <v>5</v>
      </c>
      <c r="I85">
        <v>1</v>
      </c>
      <c r="J85" t="s">
        <v>38</v>
      </c>
      <c r="O85">
        <v>47513</v>
      </c>
      <c r="P85">
        <v>48210</v>
      </c>
      <c r="Q85">
        <f t="shared" si="3"/>
        <v>6.97</v>
      </c>
    </row>
    <row r="86" spans="1:17" x14ac:dyDescent="0.2">
      <c r="A86">
        <v>70</v>
      </c>
      <c r="B86">
        <v>71</v>
      </c>
      <c r="C86">
        <v>8.17</v>
      </c>
      <c r="D86">
        <v>277</v>
      </c>
      <c r="E86">
        <v>3</v>
      </c>
      <c r="F86">
        <v>1</v>
      </c>
      <c r="G86">
        <v>1</v>
      </c>
      <c r="H86">
        <v>5</v>
      </c>
      <c r="I86">
        <v>1</v>
      </c>
      <c r="O86">
        <v>48210</v>
      </c>
      <c r="P86">
        <v>49027</v>
      </c>
      <c r="Q86">
        <f t="shared" si="3"/>
        <v>8.17</v>
      </c>
    </row>
    <row r="87" spans="1:17" x14ac:dyDescent="0.2">
      <c r="A87">
        <v>71</v>
      </c>
      <c r="B87">
        <v>72</v>
      </c>
      <c r="C87">
        <v>11.42</v>
      </c>
      <c r="D87">
        <v>310</v>
      </c>
      <c r="E87">
        <v>38</v>
      </c>
      <c r="F87">
        <v>1</v>
      </c>
      <c r="G87">
        <v>1</v>
      </c>
      <c r="H87">
        <v>5</v>
      </c>
      <c r="I87">
        <v>1</v>
      </c>
      <c r="J87" t="s">
        <v>39</v>
      </c>
      <c r="O87">
        <v>49027</v>
      </c>
      <c r="P87">
        <v>49598</v>
      </c>
      <c r="Q87">
        <f>(P87-O87)/100*2</f>
        <v>11.42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Robert</dc:creator>
  <cp:lastModifiedBy>Xavier Robert</cp:lastModifiedBy>
  <dcterms:created xsi:type="dcterms:W3CDTF">2025-02-25T14:58:31Z</dcterms:created>
  <dcterms:modified xsi:type="dcterms:W3CDTF">2025-02-26T10:39:13Z</dcterms:modified>
</cp:coreProperties>
</file>