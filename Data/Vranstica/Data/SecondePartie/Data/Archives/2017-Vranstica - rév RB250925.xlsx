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671" yWindow="-111" windowWidth="16663" windowHeight="9463"/>
  </bookViews>
  <sheets>
    <sheet name="Feuil1" sheetId="1" r:id="rId1"/>
  </sheets>
  <calcPr calcId="145621"/>
</workbook>
</file>

<file path=xl/calcChain.xml><?xml version="1.0" encoding="utf-8"?>
<calcChain xmlns="http://schemas.openxmlformats.org/spreadsheetml/2006/main">
  <c r="E77" i="1" l="1"/>
  <c r="E78" i="1"/>
  <c r="E79" i="1"/>
  <c r="E82" i="1"/>
  <c r="E83" i="1"/>
  <c r="E84" i="1"/>
  <c r="E85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87" i="1" l="1"/>
  <c r="E41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2" i="1"/>
  <c r="E59" i="1"/>
  <c r="E60" i="1"/>
  <c r="E61" i="1"/>
  <c r="E62" i="1"/>
  <c r="E63" i="1"/>
  <c r="E64" i="1"/>
  <c r="E65" i="1"/>
  <c r="E66" i="1"/>
  <c r="E67" i="1"/>
  <c r="E71" i="1"/>
  <c r="E72" i="1"/>
  <c r="E73" i="1"/>
  <c r="E74" i="1"/>
  <c r="E75" i="1"/>
  <c r="E76" i="1"/>
  <c r="E86" i="1"/>
  <c r="E9" i="1"/>
</calcChain>
</file>

<file path=xl/sharedStrings.xml><?xml version="1.0" encoding="utf-8"?>
<sst xmlns="http://schemas.openxmlformats.org/spreadsheetml/2006/main" count="69" uniqueCount="60">
  <si>
    <t>Vranstica</t>
  </si>
  <si>
    <t>Date</t>
  </si>
  <si>
    <t>team</t>
  </si>
  <si>
    <t xml:space="preserve">team </t>
  </si>
  <si>
    <t>Daniel Colliard</t>
  </si>
  <si>
    <t>D</t>
  </si>
  <si>
    <t>A</t>
  </si>
  <si>
    <t>filD</t>
  </si>
  <si>
    <t>FilA</t>
  </si>
  <si>
    <t>L</t>
  </si>
  <si>
    <t>P</t>
  </si>
  <si>
    <t>G</t>
  </si>
  <si>
    <t>H</t>
  </si>
  <si>
    <t>B</t>
  </si>
  <si>
    <t>Rem</t>
  </si>
  <si>
    <t>2017.08.02</t>
  </si>
  <si>
    <t>Jean-Michel Vallon</t>
  </si>
  <si>
    <t># Départ du bas du puits</t>
  </si>
  <si>
    <t>Az</t>
  </si>
  <si>
    <t>.</t>
  </si>
  <si>
    <t>26b</t>
  </si>
  <si>
    <t># Départ affluent en RG ; ruisseau temporaire</t>
  </si>
  <si>
    <t># Depart affluent en RD</t>
  </si>
  <si>
    <t># Passage bas, gravier</t>
  </si>
  <si>
    <t># Attention, 2.5 m enlevé ; affluent en RD</t>
  </si>
  <si>
    <t># Accès à un étage inférieur, non exploré</t>
  </si>
  <si>
    <t>1# Départ en RD</t>
  </si>
  <si>
    <t>57b</t>
  </si>
  <si>
    <t>57c</t>
  </si>
  <si>
    <t># Aprox</t>
  </si>
  <si>
    <t># CF, visée approx, a voir</t>
  </si>
  <si>
    <t># Arrivée en RG, a explorer; Arrivée en RD à explorer/topo</t>
  </si>
  <si>
    <t># Affluent qui arrive du plafond</t>
  </si>
  <si>
    <t>66b</t>
  </si>
  <si>
    <t># Remontée vers une cheminée, visée approx</t>
  </si>
  <si>
    <t># Rivière</t>
  </si>
  <si>
    <t># Bassin</t>
  </si>
  <si>
    <t># Arrêt topo sur vasque</t>
  </si>
  <si>
    <t>Olivier Bigot</t>
  </si>
  <si>
    <t>2b</t>
  </si>
  <si>
    <t>corrigé</t>
  </si>
  <si>
    <t># Départ du bas du puits - sommet du puits</t>
  </si>
  <si>
    <t># concrétions couchées</t>
  </si>
  <si>
    <t># fil en avant visée normale</t>
  </si>
  <si>
    <t># ressaut 6m, corde à droite</t>
  </si>
  <si>
    <t># sable fin</t>
  </si>
  <si>
    <t># blocs, sable fin</t>
  </si>
  <si>
    <t># base E ; arrivée d'un affluent, non exploré ? Arrêt sur étr. à 45m</t>
  </si>
  <si>
    <t># spit, puits</t>
  </si>
  <si>
    <t># blocs , sable fin</t>
  </si>
  <si>
    <t># coupe : talus glaise à gauche, graviers sur 2m à droite</t>
  </si>
  <si>
    <t># coulée de calcite, remontée de 6m</t>
  </si>
  <si>
    <t># gours</t>
  </si>
  <si>
    <t># passage bas</t>
  </si>
  <si>
    <t># conduite forcée</t>
  </si>
  <si>
    <t># passage bas sous blocs, sable graviers</t>
  </si>
  <si>
    <t># descente</t>
  </si>
  <si>
    <t># graviers</t>
  </si>
  <si>
    <t># Départ en RD après une E5, galerie de 70m, visitée non topographiée</t>
  </si>
  <si>
    <t># regard sur rivière, plan d'eau profond dans cassure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</si>
</sst>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2" borderId="0" xfId="0" applyFont="1" applyFill="1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tabSelected="1" zoomScaleNormal="100" workbookViewId="0">
      <selection activeCell="F2" sqref="F2"/>
    </sheetView>
  </sheetViews>
  <sheetFormatPr baseColWidth="10" defaultRowHeight="15.9" x14ac:dyDescent="0.45"/>
  <cols>
    <col min="1" max="16384" width="10.85546875" style="1"/>
  </cols>
  <sheetData>
    <row r="1" spans="1:12" x14ac:dyDescent="0.45">
      <c r="A1" s="1" t="s">
        <v>0</v>
      </c>
    </row>
    <row r="3" spans="1:12" x14ac:dyDescent="0.45">
      <c r="A3" s="1" t="s">
        <v>1</v>
      </c>
      <c r="B3" s="1" t="s">
        <v>15</v>
      </c>
      <c r="D3" s="2" t="s">
        <v>40</v>
      </c>
    </row>
    <row r="4" spans="1:12" x14ac:dyDescent="0.45">
      <c r="A4" s="1" t="s">
        <v>2</v>
      </c>
      <c r="B4" s="1" t="s">
        <v>16</v>
      </c>
    </row>
    <row r="5" spans="1:12" x14ac:dyDescent="0.45">
      <c r="A5" s="1" t="s">
        <v>2</v>
      </c>
      <c r="B5" s="1" t="s">
        <v>38</v>
      </c>
    </row>
    <row r="6" spans="1:12" x14ac:dyDescent="0.45">
      <c r="A6" s="1" t="s">
        <v>3</v>
      </c>
      <c r="B6" s="1" t="s">
        <v>4</v>
      </c>
      <c r="L6" s="2"/>
    </row>
    <row r="8" spans="1:12" x14ac:dyDescent="0.45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18</v>
      </c>
      <c r="G8" s="1" t="s">
        <v>10</v>
      </c>
      <c r="H8" s="1" t="s">
        <v>11</v>
      </c>
      <c r="I8" s="1" t="s">
        <v>5</v>
      </c>
      <c r="J8" s="1" t="s">
        <v>12</v>
      </c>
      <c r="K8" s="1" t="s">
        <v>13</v>
      </c>
      <c r="L8" s="1" t="s">
        <v>14</v>
      </c>
    </row>
    <row r="9" spans="1:12" x14ac:dyDescent="0.45">
      <c r="A9" s="1">
        <v>0</v>
      </c>
      <c r="B9" s="1">
        <v>1</v>
      </c>
      <c r="C9" s="1">
        <v>60188</v>
      </c>
      <c r="D9" s="1">
        <v>62604</v>
      </c>
      <c r="E9" s="1">
        <f>(D9-C9)/100</f>
        <v>24.16</v>
      </c>
      <c r="F9" s="1">
        <v>0</v>
      </c>
      <c r="G9" s="1">
        <v>90</v>
      </c>
      <c r="H9" s="1">
        <v>4</v>
      </c>
      <c r="I9" s="1">
        <v>4</v>
      </c>
      <c r="J9" s="1" t="s">
        <v>19</v>
      </c>
      <c r="K9" s="1" t="s">
        <v>19</v>
      </c>
      <c r="L9" s="1" t="s">
        <v>17</v>
      </c>
    </row>
    <row r="10" spans="1:12" x14ac:dyDescent="0.45">
      <c r="A10" s="1">
        <v>1</v>
      </c>
      <c r="B10" s="1">
        <v>2</v>
      </c>
      <c r="C10" s="1">
        <v>62604</v>
      </c>
      <c r="D10" s="1">
        <v>63262</v>
      </c>
      <c r="E10" s="1">
        <f t="shared" ref="E10:E76" si="0">(D10-C10)/100</f>
        <v>6.58</v>
      </c>
      <c r="F10" s="2">
        <v>340</v>
      </c>
      <c r="G10" s="1">
        <v>80</v>
      </c>
      <c r="H10" s="1">
        <v>4</v>
      </c>
      <c r="I10" s="1">
        <v>4</v>
      </c>
      <c r="J10" s="1" t="s">
        <v>19</v>
      </c>
      <c r="K10" s="1" t="s">
        <v>19</v>
      </c>
      <c r="L10" s="2" t="s">
        <v>17</v>
      </c>
    </row>
    <row r="11" spans="1:12" x14ac:dyDescent="0.45">
      <c r="A11" s="1">
        <v>2</v>
      </c>
      <c r="B11" s="1" t="s">
        <v>39</v>
      </c>
      <c r="C11" s="1">
        <v>63262</v>
      </c>
      <c r="D11" s="1">
        <v>64123</v>
      </c>
      <c r="E11" s="1">
        <f t="shared" si="0"/>
        <v>8.61</v>
      </c>
      <c r="F11" s="1">
        <v>300</v>
      </c>
      <c r="G11" s="1">
        <v>43</v>
      </c>
      <c r="H11" s="1">
        <v>2</v>
      </c>
      <c r="I11" s="1">
        <v>6</v>
      </c>
      <c r="J11" s="1">
        <v>10</v>
      </c>
      <c r="K11" s="1">
        <v>1</v>
      </c>
      <c r="L11" s="2" t="s">
        <v>41</v>
      </c>
    </row>
    <row r="12" spans="1:12" x14ac:dyDescent="0.45">
      <c r="A12" s="1" t="s">
        <v>39</v>
      </c>
      <c r="B12" s="1">
        <v>3</v>
      </c>
      <c r="C12" s="1">
        <v>64123</v>
      </c>
      <c r="D12" s="1">
        <v>65483</v>
      </c>
      <c r="E12" s="1">
        <f t="shared" si="0"/>
        <v>13.6</v>
      </c>
      <c r="F12" s="2">
        <v>260</v>
      </c>
      <c r="G12" s="2">
        <v>5</v>
      </c>
      <c r="J12" s="1">
        <v>10</v>
      </c>
      <c r="K12" s="1">
        <v>1</v>
      </c>
      <c r="L12" s="2" t="s">
        <v>43</v>
      </c>
    </row>
    <row r="13" spans="1:12" x14ac:dyDescent="0.45">
      <c r="A13" s="1">
        <v>3</v>
      </c>
      <c r="B13" s="1">
        <v>4</v>
      </c>
      <c r="C13" s="1">
        <v>65483</v>
      </c>
      <c r="D13" s="1">
        <v>66054</v>
      </c>
      <c r="E13" s="1">
        <f t="shared" si="0"/>
        <v>5.71</v>
      </c>
      <c r="F13" s="1">
        <v>255</v>
      </c>
      <c r="G13" s="2">
        <v>-5</v>
      </c>
      <c r="J13" s="1">
        <v>10</v>
      </c>
      <c r="K13" s="1">
        <v>1</v>
      </c>
      <c r="L13" s="2" t="s">
        <v>42</v>
      </c>
    </row>
    <row r="14" spans="1:12" x14ac:dyDescent="0.45">
      <c r="A14" s="1">
        <v>4</v>
      </c>
      <c r="B14" s="1">
        <v>5</v>
      </c>
      <c r="C14" s="1">
        <v>66054</v>
      </c>
      <c r="D14" s="1">
        <v>66401</v>
      </c>
      <c r="E14" s="1">
        <f t="shared" si="0"/>
        <v>3.47</v>
      </c>
      <c r="F14" s="1">
        <v>300</v>
      </c>
      <c r="G14" s="2">
        <v>5</v>
      </c>
      <c r="H14" s="1">
        <v>3</v>
      </c>
      <c r="I14" s="1">
        <v>5</v>
      </c>
      <c r="J14" s="1">
        <v>10</v>
      </c>
      <c r="K14" s="1">
        <v>1</v>
      </c>
      <c r="L14" s="2" t="s">
        <v>44</v>
      </c>
    </row>
    <row r="15" spans="1:12" x14ac:dyDescent="0.45">
      <c r="A15" s="1">
        <v>5</v>
      </c>
      <c r="B15" s="1">
        <v>6</v>
      </c>
      <c r="C15" s="1">
        <v>66401</v>
      </c>
      <c r="D15" s="1">
        <v>68363</v>
      </c>
      <c r="E15" s="1">
        <f t="shared" si="0"/>
        <v>19.62</v>
      </c>
      <c r="F15" s="1">
        <v>285</v>
      </c>
      <c r="G15" s="2">
        <v>-21</v>
      </c>
      <c r="H15" s="1">
        <v>3</v>
      </c>
      <c r="I15" s="1">
        <v>5</v>
      </c>
      <c r="J15" s="1">
        <v>10</v>
      </c>
      <c r="K15" s="1">
        <v>1</v>
      </c>
      <c r="L15" s="2" t="s">
        <v>45</v>
      </c>
    </row>
    <row r="16" spans="1:12" x14ac:dyDescent="0.45">
      <c r="A16" s="1">
        <v>6</v>
      </c>
      <c r="B16" s="1">
        <v>7</v>
      </c>
      <c r="C16" s="1">
        <v>68363</v>
      </c>
      <c r="D16" s="1">
        <v>70603</v>
      </c>
      <c r="E16" s="3">
        <f t="shared" si="0"/>
        <v>22.4</v>
      </c>
      <c r="F16" s="1">
        <v>285</v>
      </c>
      <c r="G16" s="2">
        <v>-24</v>
      </c>
      <c r="H16" s="1">
        <v>2</v>
      </c>
      <c r="I16" s="1">
        <v>2</v>
      </c>
      <c r="J16" s="1">
        <v>10</v>
      </c>
      <c r="K16" s="1">
        <v>1</v>
      </c>
      <c r="L16" s="2" t="s">
        <v>46</v>
      </c>
    </row>
    <row r="17" spans="1:12" x14ac:dyDescent="0.45">
      <c r="A17" s="1">
        <v>7</v>
      </c>
      <c r="B17" s="1">
        <v>8</v>
      </c>
      <c r="C17" s="1">
        <v>70603</v>
      </c>
      <c r="D17" s="1">
        <v>71594</v>
      </c>
      <c r="E17" s="1">
        <f t="shared" si="0"/>
        <v>9.91</v>
      </c>
      <c r="F17" s="1">
        <v>255</v>
      </c>
      <c r="G17" s="2">
        <v>3</v>
      </c>
      <c r="H17" s="1">
        <v>3</v>
      </c>
      <c r="I17" s="1">
        <v>5</v>
      </c>
      <c r="J17" s="1">
        <v>10</v>
      </c>
      <c r="K17" s="1">
        <v>1</v>
      </c>
    </row>
    <row r="18" spans="1:12" x14ac:dyDescent="0.45">
      <c r="A18" s="1">
        <v>8</v>
      </c>
      <c r="B18" s="1">
        <v>9</v>
      </c>
      <c r="C18" s="1">
        <v>71594</v>
      </c>
      <c r="D18" s="1">
        <v>72574</v>
      </c>
      <c r="E18" s="3">
        <f t="shared" si="0"/>
        <v>9.8000000000000007</v>
      </c>
      <c r="F18" s="1">
        <v>266</v>
      </c>
      <c r="G18" s="2">
        <v>-32</v>
      </c>
      <c r="H18" s="1">
        <v>0</v>
      </c>
      <c r="I18" s="1">
        <v>10</v>
      </c>
      <c r="J18" s="1">
        <v>10</v>
      </c>
      <c r="K18" s="1">
        <v>1</v>
      </c>
      <c r="L18" s="2" t="s">
        <v>47</v>
      </c>
    </row>
    <row r="19" spans="1:12" x14ac:dyDescent="0.45">
      <c r="A19" s="1">
        <v>9</v>
      </c>
      <c r="B19" s="1">
        <v>10</v>
      </c>
      <c r="C19" s="1">
        <v>72574</v>
      </c>
      <c r="D19" s="1">
        <v>72963</v>
      </c>
      <c r="E19" s="1">
        <f t="shared" si="0"/>
        <v>3.89</v>
      </c>
      <c r="F19" s="1">
        <v>265</v>
      </c>
      <c r="G19" s="2">
        <v>-55</v>
      </c>
      <c r="H19" s="1">
        <v>0</v>
      </c>
      <c r="I19" s="1">
        <v>10</v>
      </c>
      <c r="J19" s="1">
        <v>12</v>
      </c>
      <c r="K19" s="1">
        <v>1</v>
      </c>
      <c r="L19" s="2" t="s">
        <v>48</v>
      </c>
    </row>
    <row r="20" spans="1:12" x14ac:dyDescent="0.45">
      <c r="A20" s="1">
        <v>10</v>
      </c>
      <c r="B20" s="1">
        <v>11</v>
      </c>
      <c r="C20" s="1">
        <v>72963</v>
      </c>
      <c r="D20" s="1">
        <v>73433</v>
      </c>
      <c r="E20" s="3">
        <f t="shared" si="0"/>
        <v>4.7</v>
      </c>
      <c r="F20" s="1">
        <v>185</v>
      </c>
      <c r="G20" s="2">
        <v>-45</v>
      </c>
      <c r="H20" s="1">
        <v>0</v>
      </c>
      <c r="I20" s="1">
        <v>10</v>
      </c>
      <c r="J20" s="1">
        <v>12</v>
      </c>
      <c r="K20" s="1">
        <v>1</v>
      </c>
    </row>
    <row r="21" spans="1:12" x14ac:dyDescent="0.45">
      <c r="A21" s="1">
        <v>11</v>
      </c>
      <c r="B21" s="1">
        <v>12</v>
      </c>
      <c r="C21" s="1">
        <v>73433</v>
      </c>
      <c r="D21" s="2">
        <v>75274</v>
      </c>
      <c r="E21" s="1">
        <f t="shared" si="0"/>
        <v>18.41</v>
      </c>
      <c r="F21" s="1">
        <v>180</v>
      </c>
      <c r="G21" s="2">
        <v>-73</v>
      </c>
      <c r="H21" s="1">
        <v>4</v>
      </c>
      <c r="I21" s="1">
        <v>5</v>
      </c>
      <c r="J21" s="1">
        <v>10</v>
      </c>
      <c r="K21" s="1">
        <v>1</v>
      </c>
    </row>
    <row r="22" spans="1:12" x14ac:dyDescent="0.45">
      <c r="A22" s="1">
        <v>12</v>
      </c>
      <c r="B22" s="1">
        <v>13</v>
      </c>
      <c r="C22" s="2">
        <v>75274</v>
      </c>
      <c r="D22" s="1">
        <v>77053</v>
      </c>
      <c r="E22" s="1">
        <f t="shared" si="0"/>
        <v>17.79</v>
      </c>
      <c r="F22" s="1">
        <v>200</v>
      </c>
      <c r="G22" s="2">
        <v>-40</v>
      </c>
      <c r="H22" s="1">
        <v>4</v>
      </c>
      <c r="I22" s="1">
        <v>4</v>
      </c>
      <c r="J22" s="1">
        <v>10</v>
      </c>
      <c r="K22" s="1">
        <v>1</v>
      </c>
      <c r="L22" s="1" t="s">
        <v>49</v>
      </c>
    </row>
    <row r="23" spans="1:12" x14ac:dyDescent="0.45">
      <c r="A23" s="1">
        <v>13</v>
      </c>
      <c r="B23" s="1">
        <v>14</v>
      </c>
      <c r="C23" s="1">
        <v>77053</v>
      </c>
      <c r="D23" s="1">
        <v>78367</v>
      </c>
      <c r="E23" s="1">
        <f t="shared" si="0"/>
        <v>13.14</v>
      </c>
      <c r="F23" s="1">
        <v>250</v>
      </c>
      <c r="G23" s="2">
        <v>-41</v>
      </c>
      <c r="H23" s="1">
        <v>3</v>
      </c>
      <c r="I23" s="1">
        <v>5</v>
      </c>
      <c r="J23" s="1">
        <v>10</v>
      </c>
      <c r="K23" s="1">
        <v>1</v>
      </c>
    </row>
    <row r="24" spans="1:12" x14ac:dyDescent="0.45">
      <c r="A24" s="1">
        <v>14</v>
      </c>
      <c r="B24" s="1">
        <v>15</v>
      </c>
      <c r="C24" s="1">
        <v>78367</v>
      </c>
      <c r="D24" s="1">
        <v>79405</v>
      </c>
      <c r="E24" s="1">
        <f t="shared" si="0"/>
        <v>10.38</v>
      </c>
      <c r="F24" s="1">
        <v>175</v>
      </c>
      <c r="G24" s="2">
        <v>-26</v>
      </c>
      <c r="H24" s="1">
        <v>5</v>
      </c>
      <c r="I24" s="1">
        <v>0</v>
      </c>
      <c r="J24" s="1">
        <v>10</v>
      </c>
      <c r="K24" s="1">
        <v>1</v>
      </c>
    </row>
    <row r="25" spans="1:12" x14ac:dyDescent="0.45">
      <c r="A25" s="1">
        <v>15</v>
      </c>
      <c r="B25" s="1">
        <v>16</v>
      </c>
      <c r="C25" s="1">
        <v>79405</v>
      </c>
      <c r="D25" s="1">
        <v>81033</v>
      </c>
      <c r="E25" s="1">
        <f t="shared" si="0"/>
        <v>16.28</v>
      </c>
      <c r="F25" s="1">
        <v>170</v>
      </c>
      <c r="G25" s="2">
        <v>-37</v>
      </c>
      <c r="H25" s="1">
        <v>1</v>
      </c>
      <c r="I25" s="1">
        <v>5</v>
      </c>
      <c r="J25" s="1">
        <v>10</v>
      </c>
      <c r="K25" s="1">
        <v>1</v>
      </c>
    </row>
    <row r="26" spans="1:12" x14ac:dyDescent="0.45">
      <c r="A26" s="1">
        <v>16</v>
      </c>
      <c r="B26" s="1">
        <v>17</v>
      </c>
      <c r="C26" s="1">
        <v>81033</v>
      </c>
      <c r="D26" s="1">
        <v>82293</v>
      </c>
      <c r="E26" s="1">
        <f t="shared" si="0"/>
        <v>12.6</v>
      </c>
      <c r="F26" s="1">
        <v>190</v>
      </c>
      <c r="G26" s="2">
        <v>-40</v>
      </c>
      <c r="H26" s="1">
        <v>3</v>
      </c>
      <c r="I26" s="1">
        <v>5</v>
      </c>
      <c r="J26" s="1">
        <v>10</v>
      </c>
      <c r="K26" s="1">
        <v>1</v>
      </c>
    </row>
    <row r="27" spans="1:12" x14ac:dyDescent="0.45">
      <c r="A27" s="1">
        <v>17</v>
      </c>
      <c r="B27" s="1">
        <v>18</v>
      </c>
      <c r="C27" s="1">
        <v>82293</v>
      </c>
      <c r="D27" s="1">
        <v>82995</v>
      </c>
      <c r="E27" s="1">
        <f t="shared" si="0"/>
        <v>7.02</v>
      </c>
      <c r="F27" s="1">
        <v>180</v>
      </c>
      <c r="G27" s="2">
        <v>-45</v>
      </c>
      <c r="H27" s="1">
        <v>0</v>
      </c>
      <c r="I27" s="1">
        <v>5</v>
      </c>
      <c r="J27" s="1">
        <v>10</v>
      </c>
      <c r="K27" s="1">
        <v>1</v>
      </c>
    </row>
    <row r="28" spans="1:12" x14ac:dyDescent="0.45">
      <c r="A28" s="1">
        <v>18</v>
      </c>
      <c r="B28" s="1">
        <v>19</v>
      </c>
      <c r="C28" s="1">
        <v>82995</v>
      </c>
      <c r="D28" s="1">
        <v>84463</v>
      </c>
      <c r="E28" s="1">
        <f t="shared" si="0"/>
        <v>14.68</v>
      </c>
      <c r="F28" s="1">
        <v>275</v>
      </c>
      <c r="G28" s="2">
        <v>-20</v>
      </c>
      <c r="H28" s="1">
        <v>3</v>
      </c>
      <c r="I28" s="1">
        <v>5</v>
      </c>
      <c r="J28" s="1">
        <v>10</v>
      </c>
      <c r="K28" s="1">
        <v>1</v>
      </c>
    </row>
    <row r="29" spans="1:12" x14ac:dyDescent="0.45">
      <c r="A29" s="1">
        <v>19</v>
      </c>
      <c r="B29" s="1">
        <v>20</v>
      </c>
      <c r="C29" s="1">
        <v>84463</v>
      </c>
      <c r="D29" s="1">
        <v>86224</v>
      </c>
      <c r="E29" s="1">
        <f t="shared" si="0"/>
        <v>17.61</v>
      </c>
      <c r="F29" s="1">
        <v>240</v>
      </c>
      <c r="G29" s="2">
        <v>-36</v>
      </c>
      <c r="H29" s="1">
        <v>2</v>
      </c>
      <c r="I29" s="1">
        <v>6</v>
      </c>
      <c r="J29" s="1">
        <v>10</v>
      </c>
      <c r="K29" s="1">
        <v>1</v>
      </c>
    </row>
    <row r="30" spans="1:12" x14ac:dyDescent="0.45">
      <c r="A30" s="1">
        <v>20</v>
      </c>
      <c r="B30" s="1">
        <v>21</v>
      </c>
      <c r="C30" s="1">
        <v>86873</v>
      </c>
      <c r="D30" s="1">
        <v>88210</v>
      </c>
      <c r="E30" s="1">
        <f t="shared" si="0"/>
        <v>13.37</v>
      </c>
      <c r="F30" s="1">
        <v>265</v>
      </c>
      <c r="G30" s="2">
        <v>-37</v>
      </c>
      <c r="H30" s="1">
        <v>3</v>
      </c>
      <c r="I30" s="1">
        <v>3</v>
      </c>
      <c r="J30" s="1">
        <v>10</v>
      </c>
      <c r="K30" s="1">
        <v>1</v>
      </c>
    </row>
    <row r="31" spans="1:12" x14ac:dyDescent="0.45">
      <c r="A31" s="1">
        <v>21</v>
      </c>
      <c r="B31" s="1">
        <v>22</v>
      </c>
      <c r="C31" s="1">
        <v>88290</v>
      </c>
      <c r="D31" s="1">
        <v>89124</v>
      </c>
      <c r="E31" s="1">
        <f t="shared" si="0"/>
        <v>8.34</v>
      </c>
      <c r="F31" s="1">
        <v>285</v>
      </c>
      <c r="G31" s="2">
        <v>-29</v>
      </c>
      <c r="H31" s="1">
        <v>3</v>
      </c>
      <c r="I31" s="1">
        <v>3</v>
      </c>
      <c r="J31" s="1">
        <v>10</v>
      </c>
      <c r="K31" s="1">
        <v>1</v>
      </c>
    </row>
    <row r="32" spans="1:12" x14ac:dyDescent="0.45">
      <c r="A32" s="1">
        <v>22</v>
      </c>
      <c r="B32" s="1">
        <v>23</v>
      </c>
      <c r="C32" s="1">
        <v>89124</v>
      </c>
      <c r="D32" s="1">
        <v>92064</v>
      </c>
      <c r="E32" s="1">
        <f t="shared" si="0"/>
        <v>29.4</v>
      </c>
      <c r="F32" s="1">
        <v>215</v>
      </c>
      <c r="G32" s="2">
        <v>-26</v>
      </c>
      <c r="H32" s="1">
        <v>3</v>
      </c>
      <c r="I32" s="1">
        <v>5</v>
      </c>
      <c r="J32" s="1">
        <v>10</v>
      </c>
      <c r="K32" s="1">
        <v>1</v>
      </c>
      <c r="L32" s="1" t="s">
        <v>21</v>
      </c>
    </row>
    <row r="33" spans="1:12" x14ac:dyDescent="0.45">
      <c r="A33" s="1">
        <v>23</v>
      </c>
      <c r="B33" s="1">
        <v>24</v>
      </c>
      <c r="C33" s="1">
        <v>92064</v>
      </c>
      <c r="D33" s="1">
        <v>93823</v>
      </c>
      <c r="E33" s="1">
        <f t="shared" si="0"/>
        <v>17.59</v>
      </c>
      <c r="F33" s="1">
        <v>280</v>
      </c>
      <c r="G33" s="2">
        <v>-22</v>
      </c>
      <c r="H33" s="1">
        <v>3</v>
      </c>
      <c r="I33" s="1">
        <v>5</v>
      </c>
      <c r="J33" s="1">
        <v>0</v>
      </c>
      <c r="K33" s="1">
        <v>1</v>
      </c>
    </row>
    <row r="34" spans="1:12" x14ac:dyDescent="0.45">
      <c r="A34" s="1">
        <v>24</v>
      </c>
      <c r="B34" s="1">
        <v>25</v>
      </c>
      <c r="C34" s="1">
        <v>93823</v>
      </c>
      <c r="D34" s="1">
        <v>95464</v>
      </c>
      <c r="E34" s="1">
        <f t="shared" si="0"/>
        <v>16.41</v>
      </c>
      <c r="F34" s="1">
        <v>185</v>
      </c>
      <c r="G34" s="2">
        <v>-8</v>
      </c>
      <c r="H34" s="1">
        <v>5</v>
      </c>
      <c r="I34" s="1">
        <v>5</v>
      </c>
      <c r="J34" s="1">
        <v>5</v>
      </c>
      <c r="K34" s="1">
        <v>1</v>
      </c>
      <c r="L34" s="1" t="s">
        <v>22</v>
      </c>
    </row>
    <row r="35" spans="1:12" x14ac:dyDescent="0.45">
      <c r="A35" s="1">
        <v>25</v>
      </c>
      <c r="B35" s="1">
        <v>26</v>
      </c>
      <c r="C35" s="1">
        <v>95464</v>
      </c>
      <c r="D35" s="1">
        <v>98153</v>
      </c>
      <c r="E35" s="1">
        <f t="shared" si="0"/>
        <v>26.89</v>
      </c>
      <c r="F35" s="1">
        <v>240</v>
      </c>
      <c r="G35" s="2">
        <v>-10</v>
      </c>
      <c r="H35" s="1">
        <v>1</v>
      </c>
      <c r="I35" s="1">
        <v>5</v>
      </c>
      <c r="J35" s="1">
        <v>5</v>
      </c>
      <c r="K35" s="1">
        <v>1</v>
      </c>
      <c r="L35" s="2" t="s">
        <v>50</v>
      </c>
    </row>
    <row r="36" spans="1:12" x14ac:dyDescent="0.45">
      <c r="A36" s="1">
        <v>26</v>
      </c>
      <c r="B36" s="1" t="s">
        <v>20</v>
      </c>
      <c r="C36" s="1">
        <v>98153</v>
      </c>
      <c r="D36" s="1">
        <v>100000</v>
      </c>
      <c r="E36" s="1">
        <f t="shared" si="0"/>
        <v>18.47</v>
      </c>
      <c r="F36" s="1">
        <v>190</v>
      </c>
      <c r="G36" s="2">
        <v>-12</v>
      </c>
      <c r="H36" s="1">
        <v>5</v>
      </c>
      <c r="I36" s="1">
        <v>5</v>
      </c>
      <c r="J36" s="1">
        <v>5</v>
      </c>
      <c r="K36" s="1">
        <v>1</v>
      </c>
    </row>
    <row r="37" spans="1:12" x14ac:dyDescent="0.45">
      <c r="A37" s="1" t="s">
        <v>20</v>
      </c>
      <c r="B37" s="1">
        <v>27</v>
      </c>
      <c r="C37" s="1">
        <v>0</v>
      </c>
      <c r="D37" s="1">
        <v>293</v>
      </c>
      <c r="E37" s="1">
        <f t="shared" si="0"/>
        <v>2.93</v>
      </c>
      <c r="F37" s="1">
        <v>190</v>
      </c>
      <c r="G37" s="2">
        <v>-12</v>
      </c>
      <c r="H37" s="1">
        <v>5</v>
      </c>
      <c r="I37" s="1">
        <v>5</v>
      </c>
      <c r="J37" s="1">
        <v>5</v>
      </c>
      <c r="K37" s="1">
        <v>1</v>
      </c>
    </row>
    <row r="38" spans="1:12" x14ac:dyDescent="0.45">
      <c r="A38" s="1">
        <v>27</v>
      </c>
      <c r="B38" s="1">
        <v>28</v>
      </c>
      <c r="C38" s="1">
        <v>774</v>
      </c>
      <c r="D38" s="1">
        <v>1163</v>
      </c>
      <c r="E38" s="1">
        <f t="shared" si="0"/>
        <v>3.89</v>
      </c>
      <c r="F38" s="1">
        <v>260</v>
      </c>
      <c r="G38" s="2">
        <v>-6</v>
      </c>
      <c r="H38" s="1">
        <v>5</v>
      </c>
      <c r="I38" s="1">
        <v>5</v>
      </c>
      <c r="J38" s="1">
        <v>5</v>
      </c>
      <c r="K38" s="1">
        <v>1</v>
      </c>
    </row>
    <row r="39" spans="1:12" x14ac:dyDescent="0.45">
      <c r="A39" s="1">
        <v>28</v>
      </c>
      <c r="B39" s="1">
        <v>29</v>
      </c>
      <c r="C39" s="1">
        <v>1176</v>
      </c>
      <c r="D39" s="1">
        <v>3224</v>
      </c>
      <c r="E39" s="1">
        <f t="shared" si="0"/>
        <v>20.48</v>
      </c>
      <c r="F39" s="1">
        <v>265</v>
      </c>
      <c r="G39" s="2">
        <v>-10</v>
      </c>
      <c r="H39" s="1">
        <v>2</v>
      </c>
      <c r="I39" s="1">
        <v>2</v>
      </c>
      <c r="J39" s="1">
        <v>0.2</v>
      </c>
      <c r="K39" s="1">
        <v>1</v>
      </c>
      <c r="L39" s="1" t="s">
        <v>23</v>
      </c>
    </row>
    <row r="40" spans="1:12" x14ac:dyDescent="0.45">
      <c r="A40" s="1">
        <v>29</v>
      </c>
      <c r="B40" s="1">
        <v>30</v>
      </c>
      <c r="C40" s="1">
        <v>3224</v>
      </c>
      <c r="D40" s="1">
        <v>4745</v>
      </c>
      <c r="E40" s="1">
        <f t="shared" si="0"/>
        <v>15.21</v>
      </c>
      <c r="F40" s="1">
        <v>235</v>
      </c>
      <c r="G40" s="2">
        <v>5</v>
      </c>
      <c r="H40" s="1">
        <v>3</v>
      </c>
      <c r="I40" s="1">
        <v>3</v>
      </c>
      <c r="J40" s="1">
        <v>7</v>
      </c>
      <c r="K40" s="1">
        <v>1</v>
      </c>
    </row>
    <row r="41" spans="1:12" x14ac:dyDescent="0.45">
      <c r="A41" s="1">
        <v>30</v>
      </c>
      <c r="B41" s="1">
        <v>31</v>
      </c>
      <c r="C41" s="1">
        <v>4745</v>
      </c>
      <c r="D41" s="1">
        <v>6515</v>
      </c>
      <c r="E41" s="1">
        <f>(D41-C41)/100-2.5</f>
        <v>15.2</v>
      </c>
      <c r="F41" s="1">
        <v>245</v>
      </c>
      <c r="G41" s="2">
        <v>23</v>
      </c>
      <c r="H41" s="1">
        <v>4</v>
      </c>
      <c r="I41" s="1">
        <v>2</v>
      </c>
      <c r="J41" s="1">
        <v>7</v>
      </c>
      <c r="K41" s="1">
        <v>1</v>
      </c>
      <c r="L41" s="1" t="s">
        <v>24</v>
      </c>
    </row>
    <row r="42" spans="1:12" x14ac:dyDescent="0.45">
      <c r="A42" s="1">
        <v>31</v>
      </c>
      <c r="B42" s="1">
        <v>32</v>
      </c>
      <c r="C42" s="1">
        <v>6515</v>
      </c>
      <c r="D42" s="1">
        <v>8654</v>
      </c>
      <c r="E42" s="1">
        <f t="shared" si="0"/>
        <v>21.39</v>
      </c>
      <c r="F42" s="1">
        <v>265</v>
      </c>
      <c r="G42" s="2">
        <v>0</v>
      </c>
      <c r="H42" s="1">
        <v>3</v>
      </c>
      <c r="I42" s="1">
        <v>2</v>
      </c>
      <c r="J42" s="1">
        <v>7</v>
      </c>
      <c r="K42" s="1">
        <v>1</v>
      </c>
    </row>
    <row r="43" spans="1:12" x14ac:dyDescent="0.45">
      <c r="A43" s="1">
        <v>32</v>
      </c>
      <c r="B43" s="1">
        <v>33</v>
      </c>
      <c r="C43" s="1">
        <v>8654</v>
      </c>
      <c r="D43" s="1">
        <v>9795</v>
      </c>
      <c r="E43" s="1">
        <f t="shared" si="0"/>
        <v>11.41</v>
      </c>
      <c r="F43" s="1">
        <v>230</v>
      </c>
      <c r="G43" s="2">
        <v>19</v>
      </c>
      <c r="H43" s="1">
        <v>3</v>
      </c>
      <c r="I43" s="1">
        <v>2</v>
      </c>
      <c r="J43" s="1">
        <v>7</v>
      </c>
      <c r="K43" s="1">
        <v>1</v>
      </c>
      <c r="L43" s="2" t="s">
        <v>51</v>
      </c>
    </row>
    <row r="44" spans="1:12" x14ac:dyDescent="0.45">
      <c r="A44" s="1">
        <v>33</v>
      </c>
      <c r="B44" s="1">
        <v>34</v>
      </c>
      <c r="C44" s="1">
        <v>9795</v>
      </c>
      <c r="D44" s="1">
        <v>10415</v>
      </c>
      <c r="E44" s="1">
        <f t="shared" si="0"/>
        <v>6.2</v>
      </c>
      <c r="F44" s="1">
        <v>240</v>
      </c>
      <c r="G44" s="2">
        <v>21</v>
      </c>
      <c r="H44" s="1">
        <v>3</v>
      </c>
      <c r="I44" s="1">
        <v>2</v>
      </c>
      <c r="J44" s="1">
        <v>7</v>
      </c>
      <c r="K44" s="1">
        <v>1</v>
      </c>
      <c r="L44" s="2" t="s">
        <v>52</v>
      </c>
    </row>
    <row r="45" spans="1:12" x14ac:dyDescent="0.45">
      <c r="A45" s="1">
        <v>34</v>
      </c>
      <c r="B45" s="1">
        <v>35</v>
      </c>
      <c r="C45" s="1">
        <v>10415</v>
      </c>
      <c r="D45" s="1">
        <v>12505</v>
      </c>
      <c r="E45" s="1">
        <f t="shared" si="0"/>
        <v>20.9</v>
      </c>
      <c r="F45" s="1">
        <v>276</v>
      </c>
      <c r="G45" s="2">
        <v>-19</v>
      </c>
      <c r="H45" s="1">
        <v>3</v>
      </c>
      <c r="I45" s="1">
        <v>2</v>
      </c>
      <c r="J45" s="1">
        <v>7</v>
      </c>
      <c r="K45" s="1">
        <v>1</v>
      </c>
      <c r="L45" s="2" t="s">
        <v>53</v>
      </c>
    </row>
    <row r="46" spans="1:12" x14ac:dyDescent="0.45">
      <c r="A46" s="1">
        <v>35</v>
      </c>
      <c r="B46" s="1">
        <v>36</v>
      </c>
      <c r="C46" s="1">
        <v>12505</v>
      </c>
      <c r="D46" s="1">
        <v>14966</v>
      </c>
      <c r="E46" s="1">
        <f t="shared" si="0"/>
        <v>24.61</v>
      </c>
      <c r="F46" s="1">
        <v>228</v>
      </c>
      <c r="G46" s="2">
        <v>-10</v>
      </c>
      <c r="H46" s="1">
        <v>2</v>
      </c>
      <c r="I46" s="1">
        <v>2</v>
      </c>
      <c r="J46" s="1">
        <v>7</v>
      </c>
      <c r="K46" s="1">
        <v>1</v>
      </c>
      <c r="L46" s="2" t="s">
        <v>54</v>
      </c>
    </row>
    <row r="47" spans="1:12" x14ac:dyDescent="0.45">
      <c r="A47" s="1">
        <v>36</v>
      </c>
      <c r="B47" s="1">
        <v>37</v>
      </c>
      <c r="C47" s="1">
        <v>14966</v>
      </c>
      <c r="D47" s="1">
        <v>16573</v>
      </c>
      <c r="E47" s="1">
        <f t="shared" si="0"/>
        <v>16.07</v>
      </c>
      <c r="F47" s="1">
        <v>225</v>
      </c>
      <c r="G47" s="2">
        <v>-18</v>
      </c>
      <c r="H47" s="1">
        <v>2</v>
      </c>
      <c r="I47" s="1">
        <v>1</v>
      </c>
      <c r="J47" s="1">
        <v>7</v>
      </c>
      <c r="K47" s="1">
        <v>1</v>
      </c>
    </row>
    <row r="48" spans="1:12" x14ac:dyDescent="0.45">
      <c r="A48" s="1">
        <v>37</v>
      </c>
      <c r="B48" s="1">
        <v>38</v>
      </c>
      <c r="C48" s="1">
        <v>16573</v>
      </c>
      <c r="D48" s="1">
        <v>18433</v>
      </c>
      <c r="E48" s="1">
        <f t="shared" si="0"/>
        <v>18.600000000000001</v>
      </c>
      <c r="F48" s="1">
        <v>225</v>
      </c>
      <c r="G48" s="2">
        <v>2</v>
      </c>
      <c r="K48" s="1">
        <v>1</v>
      </c>
    </row>
    <row r="49" spans="1:12" x14ac:dyDescent="0.45">
      <c r="A49" s="1">
        <v>38</v>
      </c>
      <c r="B49" s="1">
        <v>39</v>
      </c>
      <c r="C49" s="1">
        <v>18433</v>
      </c>
      <c r="D49" s="1">
        <v>19383</v>
      </c>
      <c r="E49" s="1">
        <f t="shared" si="0"/>
        <v>9.5</v>
      </c>
      <c r="F49" s="1">
        <v>220</v>
      </c>
      <c r="G49" s="2">
        <v>-17</v>
      </c>
      <c r="H49" s="1">
        <v>3</v>
      </c>
      <c r="I49" s="1">
        <v>3</v>
      </c>
      <c r="J49" s="1">
        <v>7</v>
      </c>
      <c r="K49" s="1">
        <v>1</v>
      </c>
      <c r="L49" s="2" t="s">
        <v>55</v>
      </c>
    </row>
    <row r="50" spans="1:12" x14ac:dyDescent="0.45">
      <c r="A50" s="1">
        <v>39</v>
      </c>
      <c r="B50" s="1">
        <v>40</v>
      </c>
      <c r="C50" s="1">
        <v>19383</v>
      </c>
      <c r="D50" s="1">
        <v>20174</v>
      </c>
      <c r="E50" s="1">
        <f t="shared" si="0"/>
        <v>7.91</v>
      </c>
      <c r="F50" s="1">
        <v>248</v>
      </c>
      <c r="G50" s="2">
        <v>-3</v>
      </c>
      <c r="H50" s="1">
        <v>5</v>
      </c>
      <c r="I50" s="1">
        <v>10</v>
      </c>
      <c r="J50" s="1">
        <v>7</v>
      </c>
      <c r="K50" s="1">
        <v>1</v>
      </c>
    </row>
    <row r="51" spans="1:12" x14ac:dyDescent="0.45">
      <c r="A51" s="1">
        <v>40</v>
      </c>
      <c r="B51" s="1">
        <v>41</v>
      </c>
      <c r="C51" s="1">
        <v>20174</v>
      </c>
      <c r="D51" s="1">
        <v>20603</v>
      </c>
      <c r="E51" s="1">
        <f t="shared" si="0"/>
        <v>4.29</v>
      </c>
      <c r="F51" s="1">
        <v>260</v>
      </c>
      <c r="G51" s="2">
        <v>-30</v>
      </c>
      <c r="H51" s="1">
        <v>5</v>
      </c>
      <c r="I51" s="1">
        <v>10</v>
      </c>
      <c r="J51" s="1">
        <v>7</v>
      </c>
      <c r="K51" s="1">
        <v>1</v>
      </c>
    </row>
    <row r="52" spans="1:12" x14ac:dyDescent="0.45">
      <c r="A52" s="1">
        <v>41</v>
      </c>
      <c r="B52" s="1">
        <v>42</v>
      </c>
      <c r="C52" s="1">
        <v>20603</v>
      </c>
      <c r="D52" s="1">
        <v>20965</v>
      </c>
      <c r="E52" s="1">
        <f t="shared" si="0"/>
        <v>3.62</v>
      </c>
      <c r="F52" s="1">
        <v>270</v>
      </c>
      <c r="G52" s="2">
        <v>20</v>
      </c>
      <c r="H52" s="1">
        <v>5</v>
      </c>
      <c r="I52" s="1">
        <v>10</v>
      </c>
      <c r="J52" s="1">
        <v>7</v>
      </c>
      <c r="K52" s="1">
        <v>1</v>
      </c>
    </row>
    <row r="53" spans="1:12" x14ac:dyDescent="0.45">
      <c r="A53" s="1">
        <v>42</v>
      </c>
      <c r="B53" s="1">
        <v>43</v>
      </c>
      <c r="C53" s="1">
        <v>20965</v>
      </c>
      <c r="D53" s="1">
        <v>22305</v>
      </c>
      <c r="E53" s="1">
        <f t="shared" si="0"/>
        <v>13.4</v>
      </c>
      <c r="F53" s="1">
        <v>250</v>
      </c>
      <c r="G53" s="2">
        <v>-26</v>
      </c>
      <c r="H53" s="1">
        <v>9</v>
      </c>
      <c r="I53" s="1">
        <v>9</v>
      </c>
      <c r="J53" s="1">
        <v>7</v>
      </c>
      <c r="K53" s="1">
        <v>1</v>
      </c>
    </row>
    <row r="54" spans="1:12" x14ac:dyDescent="0.45">
      <c r="A54" s="1">
        <v>43</v>
      </c>
      <c r="B54" s="1">
        <v>44</v>
      </c>
      <c r="C54" s="1">
        <v>22305</v>
      </c>
      <c r="D54" s="1">
        <v>22853</v>
      </c>
      <c r="E54" s="1">
        <f t="shared" si="0"/>
        <v>5.48</v>
      </c>
      <c r="F54" s="1">
        <v>260</v>
      </c>
      <c r="G54" s="2">
        <v>-66</v>
      </c>
      <c r="H54" s="1">
        <v>9</v>
      </c>
      <c r="I54" s="1">
        <v>9</v>
      </c>
      <c r="J54" s="1">
        <v>7</v>
      </c>
      <c r="K54" s="1">
        <v>1</v>
      </c>
      <c r="L54" s="2" t="s">
        <v>56</v>
      </c>
    </row>
    <row r="55" spans="1:12" x14ac:dyDescent="0.45">
      <c r="A55" s="1">
        <v>44</v>
      </c>
      <c r="B55" s="1">
        <v>45</v>
      </c>
      <c r="C55" s="1">
        <v>22853</v>
      </c>
      <c r="D55" s="1">
        <v>23663</v>
      </c>
      <c r="E55" s="1">
        <f t="shared" si="0"/>
        <v>8.1</v>
      </c>
      <c r="F55" s="1">
        <v>25</v>
      </c>
      <c r="G55" s="2">
        <v>-22</v>
      </c>
      <c r="H55" s="1">
        <v>3</v>
      </c>
      <c r="I55" s="1">
        <v>3</v>
      </c>
      <c r="J55" s="1">
        <v>5</v>
      </c>
      <c r="K55" s="1">
        <v>1</v>
      </c>
    </row>
    <row r="56" spans="1:12" x14ac:dyDescent="0.45">
      <c r="A56" s="1">
        <v>45</v>
      </c>
      <c r="B56" s="1">
        <v>46</v>
      </c>
      <c r="C56" s="1">
        <v>23663</v>
      </c>
      <c r="D56" s="1">
        <v>24455</v>
      </c>
      <c r="E56" s="1">
        <f t="shared" si="0"/>
        <v>7.92</v>
      </c>
      <c r="F56" s="1">
        <v>316</v>
      </c>
      <c r="G56" s="2">
        <v>-31</v>
      </c>
      <c r="H56" s="1">
        <v>3</v>
      </c>
      <c r="I56" s="1">
        <v>3</v>
      </c>
      <c r="J56" s="1">
        <v>5</v>
      </c>
      <c r="K56" s="1">
        <v>1</v>
      </c>
    </row>
    <row r="57" spans="1:12" x14ac:dyDescent="0.45">
      <c r="A57" s="1">
        <v>46</v>
      </c>
      <c r="B57" s="1">
        <v>47</v>
      </c>
      <c r="C57" s="1">
        <v>24455</v>
      </c>
      <c r="D57" s="1">
        <v>26784</v>
      </c>
      <c r="E57" s="1">
        <f t="shared" si="0"/>
        <v>23.29</v>
      </c>
      <c r="F57" s="1">
        <v>285</v>
      </c>
      <c r="G57" s="2">
        <v>-18</v>
      </c>
      <c r="H57" s="1">
        <v>3</v>
      </c>
      <c r="I57" s="1">
        <v>3</v>
      </c>
      <c r="J57" s="1">
        <v>5</v>
      </c>
      <c r="K57" s="1">
        <v>1</v>
      </c>
    </row>
    <row r="58" spans="1:12" x14ac:dyDescent="0.45">
      <c r="A58" s="1">
        <v>47</v>
      </c>
      <c r="B58" s="1">
        <v>48</v>
      </c>
      <c r="C58" s="1">
        <v>26784</v>
      </c>
      <c r="D58" s="1">
        <v>29434</v>
      </c>
      <c r="E58" s="1">
        <f t="shared" si="0"/>
        <v>26.5</v>
      </c>
      <c r="F58" s="1">
        <v>263</v>
      </c>
      <c r="G58" s="2">
        <v>-28</v>
      </c>
      <c r="K58" s="1">
        <v>1</v>
      </c>
    </row>
    <row r="59" spans="1:12" x14ac:dyDescent="0.45">
      <c r="A59" s="1">
        <v>48</v>
      </c>
      <c r="B59" s="1">
        <v>49</v>
      </c>
      <c r="C59" s="1">
        <v>29434</v>
      </c>
      <c r="D59" s="1">
        <v>30541</v>
      </c>
      <c r="E59" s="1">
        <f t="shared" si="0"/>
        <v>11.07</v>
      </c>
      <c r="F59" s="1">
        <v>286</v>
      </c>
      <c r="G59" s="2">
        <v>-15</v>
      </c>
      <c r="K59" s="1">
        <v>1</v>
      </c>
      <c r="L59" s="1" t="s">
        <v>25</v>
      </c>
    </row>
    <row r="60" spans="1:12" x14ac:dyDescent="0.45">
      <c r="A60" s="1">
        <v>49</v>
      </c>
      <c r="B60" s="1">
        <v>50</v>
      </c>
      <c r="C60" s="1">
        <v>30541</v>
      </c>
      <c r="D60" s="1">
        <v>31035</v>
      </c>
      <c r="E60" s="1">
        <f t="shared" si="0"/>
        <v>4.9400000000000004</v>
      </c>
      <c r="F60" s="1">
        <v>370</v>
      </c>
      <c r="G60" s="2">
        <v>-25</v>
      </c>
      <c r="H60" s="1">
        <v>2.5</v>
      </c>
      <c r="I60" s="1">
        <v>2.5</v>
      </c>
      <c r="J60" s="1">
        <v>7</v>
      </c>
      <c r="K60" s="1">
        <v>1</v>
      </c>
      <c r="L60" s="2" t="s">
        <v>57</v>
      </c>
    </row>
    <row r="61" spans="1:12" x14ac:dyDescent="0.45">
      <c r="A61" s="1">
        <v>50</v>
      </c>
      <c r="B61" s="1">
        <v>51</v>
      </c>
      <c r="C61" s="1">
        <v>31035</v>
      </c>
      <c r="D61" s="1">
        <v>32454</v>
      </c>
      <c r="E61" s="1">
        <f t="shared" si="0"/>
        <v>14.19</v>
      </c>
      <c r="F61" s="1">
        <v>290</v>
      </c>
      <c r="G61" s="2">
        <v>20</v>
      </c>
      <c r="H61" s="1">
        <v>1</v>
      </c>
      <c r="I61" s="1">
        <v>1</v>
      </c>
      <c r="J61" s="1">
        <v>7</v>
      </c>
      <c r="K61" s="1">
        <v>1</v>
      </c>
    </row>
    <row r="62" spans="1:12" x14ac:dyDescent="0.45">
      <c r="A62" s="1">
        <v>51</v>
      </c>
      <c r="B62" s="1">
        <v>52</v>
      </c>
      <c r="C62" s="1">
        <v>32454</v>
      </c>
      <c r="D62" s="1">
        <v>33865</v>
      </c>
      <c r="E62" s="1">
        <f t="shared" si="0"/>
        <v>14.11</v>
      </c>
      <c r="F62" s="1">
        <v>290</v>
      </c>
      <c r="G62" s="2">
        <v>-5</v>
      </c>
      <c r="H62" s="1">
        <v>2.5</v>
      </c>
      <c r="I62" s="1">
        <v>2.5</v>
      </c>
      <c r="J62" s="1">
        <v>8</v>
      </c>
      <c r="K62" s="1">
        <v>1</v>
      </c>
    </row>
    <row r="63" spans="1:12" x14ac:dyDescent="0.45">
      <c r="A63" s="1">
        <v>52</v>
      </c>
      <c r="B63" s="1">
        <v>53</v>
      </c>
      <c r="C63" s="1">
        <v>33865</v>
      </c>
      <c r="D63" s="2">
        <v>34260</v>
      </c>
      <c r="E63" s="2">
        <f t="shared" si="0"/>
        <v>3.95</v>
      </c>
      <c r="F63" s="1">
        <v>310</v>
      </c>
      <c r="G63" s="2">
        <v>-38</v>
      </c>
      <c r="H63" s="1">
        <v>2.5</v>
      </c>
      <c r="I63" s="1">
        <v>2.5</v>
      </c>
      <c r="J63" s="1">
        <v>8</v>
      </c>
      <c r="K63" s="1">
        <v>1</v>
      </c>
    </row>
    <row r="64" spans="1:12" x14ac:dyDescent="0.45">
      <c r="A64" s="1">
        <v>53</v>
      </c>
      <c r="B64" s="1">
        <v>54</v>
      </c>
      <c r="C64" s="1">
        <v>34460</v>
      </c>
      <c r="D64" s="1">
        <v>34841</v>
      </c>
      <c r="E64" s="1">
        <f t="shared" si="0"/>
        <v>3.81</v>
      </c>
      <c r="F64" s="1">
        <v>305</v>
      </c>
      <c r="G64" s="2">
        <v>-46</v>
      </c>
      <c r="H64" s="1">
        <v>2.5</v>
      </c>
      <c r="I64" s="1">
        <v>2.5</v>
      </c>
      <c r="J64" s="1">
        <v>8</v>
      </c>
      <c r="K64" s="1">
        <v>1</v>
      </c>
      <c r="L64" s="2" t="s">
        <v>58</v>
      </c>
    </row>
    <row r="65" spans="1:12" x14ac:dyDescent="0.45">
      <c r="A65" s="1">
        <v>54</v>
      </c>
      <c r="B65" s="1">
        <v>55</v>
      </c>
      <c r="C65" s="1">
        <v>34841</v>
      </c>
      <c r="D65" s="1">
        <v>35635</v>
      </c>
      <c r="E65" s="1">
        <f t="shared" si="0"/>
        <v>7.94</v>
      </c>
      <c r="F65" s="1">
        <v>276</v>
      </c>
      <c r="G65" s="2">
        <v>-38</v>
      </c>
      <c r="H65" s="1">
        <v>2.5</v>
      </c>
      <c r="I65" s="1">
        <v>2.5</v>
      </c>
      <c r="J65" s="1">
        <v>8</v>
      </c>
      <c r="K65" s="1">
        <v>1</v>
      </c>
    </row>
    <row r="66" spans="1:12" x14ac:dyDescent="0.45">
      <c r="A66" s="1">
        <v>55</v>
      </c>
      <c r="B66" s="1">
        <v>56</v>
      </c>
      <c r="C66" s="1">
        <v>35635</v>
      </c>
      <c r="D66" s="1">
        <v>36544</v>
      </c>
      <c r="E66" s="1">
        <f t="shared" si="0"/>
        <v>9.09</v>
      </c>
      <c r="F66" s="1">
        <v>220</v>
      </c>
      <c r="G66" s="2">
        <v>2</v>
      </c>
      <c r="H66" s="1">
        <v>2.5</v>
      </c>
      <c r="I66" s="1">
        <v>2.5</v>
      </c>
      <c r="J66" s="1">
        <v>8</v>
      </c>
      <c r="K66" s="1">
        <v>1</v>
      </c>
    </row>
    <row r="67" spans="1:12" x14ac:dyDescent="0.45">
      <c r="A67" s="1">
        <v>56</v>
      </c>
      <c r="B67" s="1">
        <v>57</v>
      </c>
      <c r="C67" s="1">
        <v>36544</v>
      </c>
      <c r="D67" s="1">
        <v>37315</v>
      </c>
      <c r="E67" s="1">
        <f t="shared" si="0"/>
        <v>7.71</v>
      </c>
      <c r="F67" s="1">
        <v>220</v>
      </c>
      <c r="G67" s="2">
        <v>-21</v>
      </c>
      <c r="H67" s="1">
        <v>3</v>
      </c>
      <c r="I67" s="1">
        <v>3</v>
      </c>
      <c r="J67" s="1">
        <v>5</v>
      </c>
      <c r="K67" s="1">
        <v>1</v>
      </c>
      <c r="L67" s="1" t="s">
        <v>26</v>
      </c>
    </row>
    <row r="68" spans="1:12" x14ac:dyDescent="0.45">
      <c r="A68" s="1">
        <v>57</v>
      </c>
      <c r="B68" s="1" t="s">
        <v>27</v>
      </c>
      <c r="E68" s="1">
        <v>20</v>
      </c>
      <c r="F68" s="1">
        <v>75</v>
      </c>
      <c r="G68" s="2">
        <v>0</v>
      </c>
      <c r="H68" s="1">
        <v>3</v>
      </c>
      <c r="I68" s="1">
        <v>3</v>
      </c>
      <c r="J68" s="1">
        <v>5</v>
      </c>
      <c r="K68" s="1">
        <v>1</v>
      </c>
      <c r="L68" s="1" t="s">
        <v>29</v>
      </c>
    </row>
    <row r="69" spans="1:12" x14ac:dyDescent="0.45">
      <c r="A69" s="1" t="s">
        <v>27</v>
      </c>
      <c r="B69" s="1" t="s">
        <v>28</v>
      </c>
      <c r="E69" s="1">
        <v>10</v>
      </c>
      <c r="F69" s="1">
        <v>220</v>
      </c>
      <c r="G69" s="2">
        <v>0</v>
      </c>
      <c r="H69" s="1">
        <v>3</v>
      </c>
      <c r="I69" s="1">
        <v>3</v>
      </c>
      <c r="J69" s="1">
        <v>5</v>
      </c>
      <c r="K69" s="1">
        <v>1</v>
      </c>
      <c r="L69" s="1" t="s">
        <v>30</v>
      </c>
    </row>
    <row r="71" spans="1:12" x14ac:dyDescent="0.45">
      <c r="A71" s="1">
        <v>57</v>
      </c>
      <c r="B71" s="1">
        <v>58</v>
      </c>
      <c r="C71" s="1">
        <v>37315</v>
      </c>
      <c r="D71" s="1">
        <v>38865</v>
      </c>
      <c r="E71" s="1">
        <f t="shared" si="0"/>
        <v>15.5</v>
      </c>
      <c r="F71" s="1">
        <v>245</v>
      </c>
      <c r="G71" s="2">
        <v>26</v>
      </c>
      <c r="H71" s="1">
        <v>3</v>
      </c>
      <c r="I71" s="1">
        <v>3</v>
      </c>
      <c r="J71" s="1">
        <v>5</v>
      </c>
      <c r="K71" s="1">
        <v>1</v>
      </c>
    </row>
    <row r="72" spans="1:12" x14ac:dyDescent="0.45">
      <c r="A72" s="1">
        <v>58</v>
      </c>
      <c r="B72" s="1">
        <v>59</v>
      </c>
      <c r="C72" s="1">
        <v>38865</v>
      </c>
      <c r="D72" s="1">
        <v>39285</v>
      </c>
      <c r="E72" s="1">
        <f t="shared" si="0"/>
        <v>4.2</v>
      </c>
      <c r="F72" s="1">
        <v>315</v>
      </c>
      <c r="G72" s="2">
        <v>-24</v>
      </c>
      <c r="H72" s="1">
        <v>2</v>
      </c>
      <c r="I72" s="1">
        <v>4</v>
      </c>
      <c r="J72" s="1">
        <v>5</v>
      </c>
      <c r="K72" s="1">
        <v>1</v>
      </c>
    </row>
    <row r="73" spans="1:12" x14ac:dyDescent="0.45">
      <c r="A73" s="1">
        <v>59</v>
      </c>
      <c r="B73" s="1">
        <v>60</v>
      </c>
      <c r="C73" s="1">
        <v>39285</v>
      </c>
      <c r="D73" s="1">
        <v>39415</v>
      </c>
      <c r="E73" s="1">
        <f t="shared" si="0"/>
        <v>1.3</v>
      </c>
      <c r="F73" s="1">
        <v>315</v>
      </c>
      <c r="G73" s="2">
        <v>0</v>
      </c>
      <c r="J73" s="1">
        <v>7</v>
      </c>
      <c r="K73" s="1">
        <v>1</v>
      </c>
    </row>
    <row r="74" spans="1:12" x14ac:dyDescent="0.45">
      <c r="A74" s="1">
        <v>60</v>
      </c>
      <c r="B74" s="1">
        <v>61</v>
      </c>
      <c r="C74" s="1">
        <v>39415</v>
      </c>
      <c r="D74" s="1">
        <v>40173</v>
      </c>
      <c r="E74" s="1">
        <f t="shared" si="0"/>
        <v>7.58</v>
      </c>
      <c r="F74" s="1">
        <v>250</v>
      </c>
      <c r="G74" s="2">
        <v>-57</v>
      </c>
      <c r="H74" s="1">
        <v>1</v>
      </c>
      <c r="I74" s="1">
        <v>9</v>
      </c>
      <c r="J74" s="1">
        <v>6</v>
      </c>
      <c r="K74" s="1">
        <v>1</v>
      </c>
      <c r="L74" s="1" t="s">
        <v>31</v>
      </c>
    </row>
    <row r="75" spans="1:12" x14ac:dyDescent="0.45">
      <c r="A75" s="1">
        <v>61</v>
      </c>
      <c r="B75" s="1">
        <v>62</v>
      </c>
      <c r="C75" s="1">
        <v>40325</v>
      </c>
      <c r="D75" s="1">
        <v>41520</v>
      </c>
      <c r="E75" s="1">
        <f t="shared" si="0"/>
        <v>11.95</v>
      </c>
      <c r="F75" s="1">
        <v>275</v>
      </c>
      <c r="G75" s="2">
        <v>19</v>
      </c>
      <c r="H75" s="1">
        <v>0</v>
      </c>
      <c r="I75" s="1">
        <v>5</v>
      </c>
      <c r="J75" s="1">
        <v>6</v>
      </c>
      <c r="K75" s="1">
        <v>1</v>
      </c>
      <c r="L75" s="1" t="s">
        <v>32</v>
      </c>
    </row>
    <row r="76" spans="1:12" x14ac:dyDescent="0.45">
      <c r="A76" s="1">
        <v>62</v>
      </c>
      <c r="B76" s="1">
        <v>63</v>
      </c>
      <c r="C76" s="1">
        <v>41520</v>
      </c>
      <c r="D76" s="1">
        <v>42885</v>
      </c>
      <c r="E76" s="1">
        <f t="shared" si="0"/>
        <v>13.65</v>
      </c>
      <c r="F76" s="1">
        <v>315</v>
      </c>
      <c r="G76" s="2">
        <v>-45</v>
      </c>
      <c r="H76" s="1">
        <v>5</v>
      </c>
      <c r="I76" s="1">
        <v>0</v>
      </c>
      <c r="J76" s="1">
        <v>6</v>
      </c>
      <c r="K76" s="1">
        <v>1</v>
      </c>
      <c r="L76" s="2" t="s">
        <v>59</v>
      </c>
    </row>
    <row r="77" spans="1:12" x14ac:dyDescent="0.45">
      <c r="A77" s="1">
        <v>63</v>
      </c>
      <c r="B77" s="1">
        <v>64</v>
      </c>
      <c r="C77" s="1">
        <v>42885</v>
      </c>
      <c r="D77" s="1">
        <v>43645</v>
      </c>
      <c r="E77" s="1">
        <f t="shared" ref="E77:E86" si="1">(D77-C77)/100</f>
        <v>7.6</v>
      </c>
      <c r="F77" s="1">
        <v>270</v>
      </c>
      <c r="G77" s="2">
        <v>-36</v>
      </c>
      <c r="H77" s="1">
        <v>1</v>
      </c>
      <c r="I77" s="1">
        <v>4</v>
      </c>
      <c r="J77" s="1">
        <v>6</v>
      </c>
      <c r="K77" s="1">
        <v>1</v>
      </c>
    </row>
    <row r="78" spans="1:12" x14ac:dyDescent="0.45">
      <c r="A78" s="1">
        <v>64</v>
      </c>
      <c r="B78" s="1">
        <v>65</v>
      </c>
      <c r="C78" s="1">
        <v>43645</v>
      </c>
      <c r="D78" s="1">
        <v>44245</v>
      </c>
      <c r="E78" s="1">
        <f t="shared" si="1"/>
        <v>6</v>
      </c>
      <c r="F78" s="1">
        <v>306</v>
      </c>
      <c r="G78" s="2">
        <v>-13</v>
      </c>
      <c r="H78" s="1">
        <v>0</v>
      </c>
      <c r="I78" s="1">
        <v>5</v>
      </c>
      <c r="J78" s="1">
        <v>6</v>
      </c>
      <c r="K78" s="1">
        <v>1</v>
      </c>
    </row>
    <row r="79" spans="1:12" x14ac:dyDescent="0.45">
      <c r="A79" s="1">
        <v>65</v>
      </c>
      <c r="B79" s="1">
        <v>66</v>
      </c>
      <c r="C79" s="1">
        <v>44245</v>
      </c>
      <c r="D79" s="1">
        <v>44960</v>
      </c>
      <c r="E79" s="1">
        <f t="shared" si="1"/>
        <v>7.15</v>
      </c>
      <c r="F79" s="1">
        <v>275</v>
      </c>
      <c r="G79" s="2">
        <v>-26</v>
      </c>
      <c r="H79" s="1">
        <v>3</v>
      </c>
      <c r="I79" s="1">
        <v>3</v>
      </c>
      <c r="J79" s="1">
        <v>6</v>
      </c>
      <c r="K79" s="1">
        <v>1</v>
      </c>
    </row>
    <row r="80" spans="1:12" x14ac:dyDescent="0.45">
      <c r="A80" s="1">
        <v>66</v>
      </c>
      <c r="B80" s="1" t="s">
        <v>33</v>
      </c>
      <c r="E80" s="1">
        <v>15</v>
      </c>
      <c r="F80" s="1">
        <v>120</v>
      </c>
      <c r="G80" s="2">
        <v>30</v>
      </c>
      <c r="H80" s="1">
        <v>2</v>
      </c>
      <c r="I80" s="1">
        <v>2</v>
      </c>
      <c r="J80" s="1">
        <v>2</v>
      </c>
      <c r="K80" s="1">
        <v>1</v>
      </c>
      <c r="L80" s="1" t="s">
        <v>34</v>
      </c>
    </row>
    <row r="82" spans="1:12" x14ac:dyDescent="0.45">
      <c r="A82" s="1">
        <v>66</v>
      </c>
      <c r="B82" s="1">
        <v>67</v>
      </c>
      <c r="C82" s="1">
        <v>44960</v>
      </c>
      <c r="D82" s="1">
        <v>45600</v>
      </c>
      <c r="E82" s="1">
        <f t="shared" si="1"/>
        <v>6.4</v>
      </c>
      <c r="F82" s="1">
        <v>302</v>
      </c>
      <c r="G82" s="2">
        <v>-30</v>
      </c>
      <c r="H82" s="1">
        <v>3</v>
      </c>
      <c r="I82" s="1">
        <v>3</v>
      </c>
      <c r="J82" s="1">
        <v>6</v>
      </c>
      <c r="K82" s="1">
        <v>1</v>
      </c>
    </row>
    <row r="83" spans="1:12" x14ac:dyDescent="0.45">
      <c r="A83" s="1">
        <v>67</v>
      </c>
      <c r="B83" s="1">
        <v>68</v>
      </c>
      <c r="C83" s="1">
        <v>45600</v>
      </c>
      <c r="D83" s="1">
        <v>46475</v>
      </c>
      <c r="E83" s="1">
        <f t="shared" si="1"/>
        <v>8.75</v>
      </c>
      <c r="F83" s="1">
        <v>292</v>
      </c>
      <c r="G83" s="2">
        <v>-38</v>
      </c>
      <c r="H83" s="1">
        <v>3</v>
      </c>
      <c r="I83" s="1">
        <v>3</v>
      </c>
      <c r="J83" s="1">
        <v>6</v>
      </c>
      <c r="K83" s="1">
        <v>1</v>
      </c>
    </row>
    <row r="84" spans="1:12" x14ac:dyDescent="0.45">
      <c r="A84" s="1">
        <v>68</v>
      </c>
      <c r="B84" s="1">
        <v>69</v>
      </c>
      <c r="C84" s="1">
        <v>46475</v>
      </c>
      <c r="D84" s="1">
        <v>47513</v>
      </c>
      <c r="E84" s="1">
        <f t="shared" si="1"/>
        <v>10.38</v>
      </c>
      <c r="F84" s="1">
        <v>290</v>
      </c>
      <c r="G84" s="2">
        <v>-25</v>
      </c>
      <c r="H84" s="1">
        <v>4</v>
      </c>
      <c r="I84" s="1">
        <v>0</v>
      </c>
      <c r="J84" s="1">
        <v>6</v>
      </c>
      <c r="K84" s="1">
        <v>1</v>
      </c>
      <c r="L84" s="1" t="s">
        <v>35</v>
      </c>
    </row>
    <row r="85" spans="1:12" x14ac:dyDescent="0.45">
      <c r="A85" s="1">
        <v>69</v>
      </c>
      <c r="B85" s="1">
        <v>70</v>
      </c>
      <c r="C85" s="1">
        <v>47513</v>
      </c>
      <c r="D85" s="1">
        <v>48210</v>
      </c>
      <c r="E85" s="1">
        <f t="shared" si="1"/>
        <v>6.97</v>
      </c>
      <c r="F85" s="1">
        <v>275</v>
      </c>
      <c r="G85" s="2">
        <v>-12</v>
      </c>
      <c r="H85" s="1">
        <v>1</v>
      </c>
      <c r="I85" s="1">
        <v>1</v>
      </c>
      <c r="J85" s="1">
        <v>5</v>
      </c>
      <c r="K85" s="1">
        <v>1</v>
      </c>
      <c r="L85" s="1" t="s">
        <v>36</v>
      </c>
    </row>
    <row r="86" spans="1:12" x14ac:dyDescent="0.45">
      <c r="A86" s="1">
        <v>70</v>
      </c>
      <c r="B86" s="1">
        <v>71</v>
      </c>
      <c r="C86" s="1">
        <v>48210</v>
      </c>
      <c r="D86" s="1">
        <v>49027</v>
      </c>
      <c r="E86" s="1">
        <f t="shared" si="1"/>
        <v>8.17</v>
      </c>
      <c r="F86" s="1">
        <v>277</v>
      </c>
      <c r="G86" s="2">
        <v>-3</v>
      </c>
      <c r="H86" s="1">
        <v>1</v>
      </c>
      <c r="I86" s="1">
        <v>1</v>
      </c>
      <c r="J86" s="1">
        <v>5</v>
      </c>
      <c r="K86" s="1">
        <v>1</v>
      </c>
    </row>
    <row r="87" spans="1:12" x14ac:dyDescent="0.45">
      <c r="A87" s="1">
        <v>71</v>
      </c>
      <c r="B87" s="1">
        <v>72</v>
      </c>
      <c r="C87" s="1">
        <v>49027</v>
      </c>
      <c r="D87" s="1">
        <v>49598</v>
      </c>
      <c r="E87" s="1">
        <f>(D87-C87)/100*2</f>
        <v>11.42</v>
      </c>
      <c r="F87" s="1">
        <v>310</v>
      </c>
      <c r="G87" s="2">
        <v>-38</v>
      </c>
      <c r="H87" s="1">
        <v>1</v>
      </c>
      <c r="I87" s="1">
        <v>1</v>
      </c>
      <c r="J87" s="1">
        <v>5</v>
      </c>
      <c r="K87" s="1">
        <v>1</v>
      </c>
      <c r="L87" s="1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Robert</dc:creator>
  <cp:lastModifiedBy>Robert BEAUMONT</cp:lastModifiedBy>
  <dcterms:created xsi:type="dcterms:W3CDTF">2025-02-25T14:58:31Z</dcterms:created>
  <dcterms:modified xsi:type="dcterms:W3CDTF">2025-09-25T16:41:09Z</dcterms:modified>
</cp:coreProperties>
</file>